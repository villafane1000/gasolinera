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Supuestos" sheetId="2" state="visible" r:id="rId4"/>
    <sheet name="Controles" sheetId="3" state="visible" r:id="rId5"/>
    <sheet name="Modelo" sheetId="4" state="visible" r:id="rId6"/>
    <sheet name="Sensibilidad" sheetId="5" state="visible" r:id="rId7"/>
    <sheet name="DataRoom" sheetId="6" state="visible" r:id="rId8"/>
    <sheet name="Localizacion" sheetId="7" state="visible" r:id="rId9"/>
    <sheet name="PresupuestoA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<sst xmlns="http://schemas.openxmlformats.org/spreadsheetml/2006/main" count="468" uniqueCount="347">
  <si>
    <t xml:space="preserve">Caso Flow · Modelo financiero a 3 años (+ años 4–5 en run-rate)</t>
  </si>
  <si>
    <t xml:space="preserve">Cómo usarlo</t>
  </si>
  <si>
    <t xml:space="preserve">1. Elija el escenario en Supuestos!C3 (A, B o C). Toda la hoja Modelo se recalcula.</t>
  </si>
  <si>
    <t xml:space="preserve">2. Azul = supuesto editable · Negro = fórmula · Verde = vínculo a otra hoja · Amarillo = supuestos clave (los 3 de mayor sensibilidad).</t>
  </si>
  <si>
    <t xml:space="preserve">3. Cada supuesto indica su fuente: 'Data room' (dato del caso) o 'Supuesto' (declarado por el candidato, a validar).</t>
  </si>
  <si>
    <t xml:space="preserve">4. Sensibilidad: cada fila aplica un multiplicador a un grupo de supuestos sobre el escenario seleccionado (mismo motor que Modelo).</t>
  </si>
  <si>
    <t xml:space="preserve">5. DataRoom: cálculos reproducibles de las tablas A–F (funnel, ANPR ponderado, facial, disputas, costos).</t>
  </si>
  <si>
    <t xml:space="preserve">Escenarios</t>
  </si>
  <si>
    <t xml:space="preserve">A · Plan directivo: 6 islas Flow por estación, 420 estaciones en el año 1.</t>
  </si>
  <si>
    <t xml:space="preserve">B · Escalonado: 2 islas Flow (carriles exprés) por estación, 120 → 300 → 420 estaciones.</t>
  </si>
  <si>
    <t xml:space="preserve">C · Recomendado: 2 islas Flow, solo estaciones priorizadas por tráfico y flotas, 120 → 200 → 250.</t>
  </si>
  <si>
    <t xml:space="preserve">País del modelo: Colombia (COP). Perú requiere un caso propio en PEN (ticket, margen, MDR, impuestos, costos) antes de abrir estaciones allí; ver hoja Localizacion.</t>
  </si>
  <si>
    <t xml:space="preserve">Convenciones: USD salvo indicación. Año = 12 meses desde el inicio del programa. Estaciones activas = promedio inicio/fin de año.</t>
  </si>
  <si>
    <t xml:space="preserve">Las cifras del caso son ficticias. Los supuestos propios están marcados y deben validarse con Finanzas, Operaciones y proveedores.</t>
  </si>
  <si>
    <t xml:space="preserve">Supuestos del caso de negocio</t>
  </si>
  <si>
    <t xml:space="preserve">Escenario seleccionado</t>
  </si>
  <si>
    <t xml:space="preserve">C</t>
  </si>
  <si>
    <t xml:space="preserve">← índice del escenario</t>
  </si>
  <si>
    <t xml:space="preserve">Parámetro</t>
  </si>
  <si>
    <t xml:space="preserve">Unidad</t>
  </si>
  <si>
    <t xml:space="preserve">A · Directivo</t>
  </si>
  <si>
    <t xml:space="preserve">B · Escalonado</t>
  </si>
  <si>
    <t xml:space="preserve">C · Recomendado</t>
  </si>
  <si>
    <t xml:space="preserve">Seleccionado</t>
  </si>
  <si>
    <t xml:space="preserve">Fuente / nota</t>
  </si>
  <si>
    <t xml:space="preserve">FX COP por USD</t>
  </si>
  <si>
    <t xml:space="preserve">COP/USD</t>
  </si>
  <si>
    <t xml:space="preserve">Supuesto (tasa de planeación)</t>
  </si>
  <si>
    <t xml:space="preserve">Ticket promedio</t>
  </si>
  <si>
    <t xml:space="preserve">COP</t>
  </si>
  <si>
    <t xml:space="preserve">Data room, Tabla D</t>
  </si>
  <si>
    <t xml:space="preserve">Precio por galón</t>
  </si>
  <si>
    <t xml:space="preserve">COP/gal</t>
  </si>
  <si>
    <t xml:space="preserve">Supuesto (precio de referencia)</t>
  </si>
  <si>
    <t xml:space="preserve">Margen bruto por galón</t>
  </si>
  <si>
    <t xml:space="preserve">USD/gal</t>
  </si>
  <si>
    <t xml:space="preserve">Data room, Tabla F</t>
  </si>
  <si>
    <t xml:space="preserve">Tráfico por estación (base piloto)</t>
  </si>
  <si>
    <t xml:space="preserve">veh/día</t>
  </si>
  <si>
    <t xml:space="preserve">Data room: 41.200 / 56 días / 3 estaciones</t>
  </si>
  <si>
    <t xml:space="preserve">Multiplicador de tráfico de estaciones elegidas</t>
  </si>
  <si>
    <t xml:space="preserve">x</t>
  </si>
  <si>
    <t xml:space="preserve">Supuesto: estaciones priorizadas por tráfico vs. piloto. Validar con ventas por estación</t>
  </si>
  <si>
    <t xml:space="preserve">Días operativos al año</t>
  </si>
  <si>
    <t xml:space="preserve">días</t>
  </si>
  <si>
    <t xml:space="preserve">Supuesto</t>
  </si>
  <si>
    <t xml:space="preserve">Islas Flow por estación</t>
  </si>
  <si>
    <t xml:space="preserve">islas</t>
  </si>
  <si>
    <t xml:space="preserve">A: Data room (6 islas). B/C: carriles exprés, decisión del candidato</t>
  </si>
  <si>
    <t xml:space="preserve">Kit por isla</t>
  </si>
  <si>
    <t xml:space="preserve">USD</t>
  </si>
  <si>
    <t xml:space="preserve">Instalación y contingencia sobre kit</t>
  </si>
  <si>
    <t xml:space="preserve">%</t>
  </si>
  <si>
    <t xml:space="preserve">Integración POS legado por estación</t>
  </si>
  <si>
    <t xml:space="preserve">Integración POS cloud por estación</t>
  </si>
  <si>
    <t xml:space="preserve">OPEX por isla al mes</t>
  </si>
  <si>
    <t xml:space="preserve">MDR tarjeta</t>
  </si>
  <si>
    <t xml:space="preserve">Data room, Tabla D (se asume igual para CNP; validar)</t>
  </si>
  <si>
    <t xml:space="preserve">MDR pago inmediato cuenta a cuenta</t>
  </si>
  <si>
    <t xml:space="preserve">Costo de manejo del efectivo</t>
  </si>
  <si>
    <t xml:space="preserve">% del ticket</t>
  </si>
  <si>
    <t xml:space="preserve">Supuesto (transporte de valores, faltantes, conteo)</t>
  </si>
  <si>
    <t xml:space="preserve">Usuarios Flow que pagaban en efectivo antes</t>
  </si>
  <si>
    <t xml:space="preserve">Supuesto (mix nacional 38 % efectivo; usuarios de app menos)</t>
  </si>
  <si>
    <t xml:space="preserve">Minutos de islero liberados por transacción Flow</t>
  </si>
  <si>
    <t xml:space="preserve">min</t>
  </si>
  <si>
    <t xml:space="preserve">Supuesto: identificación + cobro + registro</t>
  </si>
  <si>
    <t xml:space="preserve">Costo por hora de islero (con cargas)</t>
  </si>
  <si>
    <t xml:space="preserve">USD/h</t>
  </si>
  <si>
    <t xml:space="preserve">Costo PSP / tokenización por transacción</t>
  </si>
  <si>
    <t xml:space="preserve">Pérdida por disputa (% del ticket no recuperado)</t>
  </si>
  <si>
    <t xml:space="preserve">Cargo por contracargo</t>
  </si>
  <si>
    <t xml:space="preserve">Conversaciones de soporte por transacción Flow</t>
  </si>
  <si>
    <t xml:space="preserve">Costo por conversación con LLM</t>
  </si>
  <si>
    <t xml:space="preserve">Tasa de descuento</t>
  </si>
  <si>
    <t xml:space="preserve">Estaciones Flow al inicio (piloto)</t>
  </si>
  <si>
    <t xml:space="preserve">est.</t>
  </si>
  <si>
    <t xml:space="preserve">Data room</t>
  </si>
  <si>
    <t xml:space="preserve">Supuestos por año</t>
  </si>
  <si>
    <t xml:space="preserve">Año</t>
  </si>
  <si>
    <t xml:space="preserve">Estaciones al cierre</t>
  </si>
  <si>
    <t xml:space="preserve">Año 1</t>
  </si>
  <si>
    <t xml:space="preserve">Decisión de despliegue por escenario</t>
  </si>
  <si>
    <t xml:space="preserve">Año 2</t>
  </si>
  <si>
    <t xml:space="preserve">Año 3</t>
  </si>
  <si>
    <t xml:space="preserve">Nuevas estaciones con POS cloud</t>
  </si>
  <si>
    <t xml:space="preserve">Data room: 60 estaciones con POS cloud, primero</t>
  </si>
  <si>
    <t xml:space="preserve">Vehículos enrolados / tráfico</t>
  </si>
  <si>
    <t xml:space="preserve">Supuesto. Piloto: 16,7 % (Tabla A)</t>
  </si>
  <si>
    <t xml:space="preserve">Cierre sin intervención / enrolados</t>
  </si>
  <si>
    <t xml:space="preserve">Supuesto. Piloto: 64,2 % estimado (Tabla A)</t>
  </si>
  <si>
    <t xml:space="preserve">Volumen incremental por estación</t>
  </si>
  <si>
    <t xml:space="preserve">Supuesto CLAVE: no medido en el piloto (se mide en M6)</t>
  </si>
  <si>
    <t xml:space="preserve">Participación pago cuenta a cuenta / prepago en Flow</t>
  </si>
  <si>
    <t xml:space="preserve">Realización del ahorro de islero</t>
  </si>
  <si>
    <t xml:space="preserve">Supuesto: 0 % en fase 1 (rol se redefine); luego rotación natural y tienda</t>
  </si>
  <si>
    <t xml:space="preserve">Tasa de disputas Flow</t>
  </si>
  <si>
    <t xml:space="preserve">Supuesto: plan anti-disputas (M5). Piloto sem. 8: 0,61 %</t>
  </si>
  <si>
    <t xml:space="preserve">Equipo de producto y plataforma</t>
  </si>
  <si>
    <t xml:space="preserve">Supuesto (squad + cloud)</t>
  </si>
  <si>
    <t xml:space="preserve">Incentivos de enrolamiento y marketing</t>
  </si>
  <si>
    <t xml:space="preserve">Controles de conciliación</t>
  </si>
  <si>
    <t xml:space="preserve">Plan directivo (420 estaciones × 6 islas). Una sola fuente para las cifras de CAPEX que aparecen en los documentos.</t>
  </si>
  <si>
    <t xml:space="preserve">Concepto</t>
  </si>
  <si>
    <t xml:space="preserve">Fórmula</t>
  </si>
  <si>
    <t xml:space="preserve">Kits de isla</t>
  </si>
  <si>
    <t xml:space="preserve">420 × 6 × kit</t>
  </si>
  <si>
    <t xml:space="preserve">POS legado</t>
  </si>
  <si>
    <t xml:space="preserve">360 × integración legado</t>
  </si>
  <si>
    <t xml:space="preserve">POS cloud</t>
  </si>
  <si>
    <t xml:space="preserve">60 × integración cloud</t>
  </si>
  <si>
    <t xml:space="preserve">CAPEX base red completa</t>
  </si>
  <si>
    <t xml:space="preserve">kits + POS</t>
  </si>
  <si>
    <t xml:space="preserve">Instalación y contingencia</t>
  </si>
  <si>
    <t xml:space="preserve">% sobre kits</t>
  </si>
  <si>
    <t xml:space="preserve">Red completa instalada</t>
  </si>
  <si>
    <t xml:space="preserve">base + instalación</t>
  </si>
  <si>
    <t xml:space="preserve">Piloto existente (3 estaciones)</t>
  </si>
  <si>
    <t xml:space="preserve">3 × 6 kits instalados + 3 POS legado</t>
  </si>
  <si>
    <t xml:space="preserve">CAPEX incremental 3 → 420</t>
  </si>
  <si>
    <t xml:space="preserve">red instalada − piloto</t>
  </si>
  <si>
    <t xml:space="preserve">Presupuesto aprobado</t>
  </si>
  <si>
    <t xml:space="preserve">dato del caso</t>
  </si>
  <si>
    <t xml:space="preserve">Múltiplo del presupuesto</t>
  </si>
  <si>
    <t xml:space="preserve">incremental / presupuesto</t>
  </si>
  <si>
    <t xml:space="preserve">Recuperación (escenario seleccionado)</t>
  </si>
  <si>
    <t xml:space="preserve">Indicador</t>
  </si>
  <si>
    <t xml:space="preserve">Cómo leerlo</t>
  </si>
  <si>
    <t xml:space="preserve">Valor</t>
  </si>
  <si>
    <t xml:space="preserve">VPN a 3 años</t>
  </si>
  <si>
    <t xml:space="preserve">Flujos descontados al 12 %</t>
  </si>
  <si>
    <t xml:space="preserve">VPN a 5 años</t>
  </si>
  <si>
    <t xml:space="preserve">Años 4–5 en régimen, sin CAPEX nuevo</t>
  </si>
  <si>
    <t xml:space="preserve">Flujo acumulado al año 5</t>
  </si>
  <si>
    <t xml:space="preserve">Sin descontar</t>
  </si>
  <si>
    <t xml:space="preserve">Recuperación del programa</t>
  </si>
  <si>
    <t xml:space="preserve">Primer año con acumulado ≥ 0</t>
  </si>
  <si>
    <t xml:space="preserve">Indicador unitario (años)</t>
  </si>
  <si>
    <t xml:space="preserve">CAPEX de una estación / su contribución ANTES de costos fijos. No es el payback del programa.</t>
  </si>
  <si>
    <t xml:space="preserve">Caso de negocio Flow · escenario seleccionado</t>
  </si>
  <si>
    <t xml:space="preserve">Año 4 (run-rate)</t>
  </si>
  <si>
    <t xml:space="preserve">Año 5 (run-rate)</t>
  </si>
  <si>
    <t xml:space="preserve">Nota</t>
  </si>
  <si>
    <t xml:space="preserve">Estaciones al inicio</t>
  </si>
  <si>
    <t xml:space="preserve">Años 4–5 sin nuevas estaciones</t>
  </si>
  <si>
    <t xml:space="preserve">Estaciones nuevas</t>
  </si>
  <si>
    <t xml:space="preserve">  de ellas con POS cloud</t>
  </si>
  <si>
    <t xml:space="preserve">Estaciones activas (promedio)</t>
  </si>
  <si>
    <t xml:space="preserve">Convención de medio año</t>
  </si>
  <si>
    <t xml:space="preserve">Vehículos atendidos</t>
  </si>
  <si>
    <t xml:space="preserve">veh</t>
  </si>
  <si>
    <t xml:space="preserve">Transacciones Flow sin intervención</t>
  </si>
  <si>
    <t xml:space="preserve">txn</t>
  </si>
  <si>
    <t xml:space="preserve">Base × enrolamiento × automatización</t>
  </si>
  <si>
    <t xml:space="preserve">Margen bruto por transacción</t>
  </si>
  <si>
    <t xml:space="preserve">galones × margen/galón</t>
  </si>
  <si>
    <t xml:space="preserve">BENEFICIOS</t>
  </si>
  <si>
    <t xml:space="preserve">Margen de volumen incremental</t>
  </si>
  <si>
    <t xml:space="preserve">Throughput + lealtad</t>
  </si>
  <si>
    <t xml:space="preserve">Ahorro en costo de medios de pago</t>
  </si>
  <si>
    <t xml:space="preserve">Negativo si el efectivo migra a tarjeta</t>
  </si>
  <si>
    <t xml:space="preserve">Capacidad de islero monetizada</t>
  </si>
  <si>
    <t xml:space="preserve">Sin despidos en fase 1</t>
  </si>
  <si>
    <t xml:space="preserve">Total beneficios</t>
  </si>
  <si>
    <t xml:space="preserve">COSTOS OPERATIVOS</t>
  </si>
  <si>
    <t xml:space="preserve">OPEX de islas</t>
  </si>
  <si>
    <t xml:space="preserve">PSP / tokenización</t>
  </si>
  <si>
    <t xml:space="preserve">Disputas y contracargos</t>
  </si>
  <si>
    <t xml:space="preserve">Agente de soporte con LLM</t>
  </si>
  <si>
    <t xml:space="preserve">Equipo y plataforma</t>
  </si>
  <si>
    <t xml:space="preserve">Enrolamiento y marketing</t>
  </si>
  <si>
    <t xml:space="preserve">Total costos operativos</t>
  </si>
  <si>
    <t xml:space="preserve">EBITDA del programa</t>
  </si>
  <si>
    <t xml:space="preserve">INVERSIÓN</t>
  </si>
  <si>
    <t xml:space="preserve">Kits de isla e instalación</t>
  </si>
  <si>
    <t xml:space="preserve">Integración POS</t>
  </si>
  <si>
    <t xml:space="preserve">Total CAPEX</t>
  </si>
  <si>
    <t xml:space="preserve">FLUJO</t>
  </si>
  <si>
    <t xml:space="preserve">Flujo de caja libre</t>
  </si>
  <si>
    <t xml:space="preserve">Flujo acumulado</t>
  </si>
  <si>
    <t xml:space="preserve">Uso de caja del año (CAPEX + OPEX − beneficios)</t>
  </si>
  <si>
    <t xml:space="preserve">Comparar Año 1 con el presupuesto de USD 4,2 M</t>
  </si>
  <si>
    <t xml:space="preserve">Indicadores</t>
  </si>
  <si>
    <t xml:space="preserve">VPN a 5 años (años 4–5 en run-rate)</t>
  </si>
  <si>
    <t xml:space="preserve">Recuperación del programa (flujo acumulado ≥ 0)</t>
  </si>
  <si>
    <t xml:space="preserve">CAPEX total años 1–3</t>
  </si>
  <si>
    <t xml:space="preserve">Flujo acumulado al cierre del año 5</t>
  </si>
  <si>
    <t xml:space="preserve">Uso de caja año 1 vs presupuesto USD 4,2 M</t>
  </si>
  <si>
    <t xml:space="preserve">EBITDA por estación activa en año 3</t>
  </si>
  <si>
    <t xml:space="preserve">CAPEX por estación (POS legado)</t>
  </si>
  <si>
    <t xml:space="preserve">Contribución por estación año 3 (antes de costos fijos)</t>
  </si>
  <si>
    <t xml:space="preserve">Indicador unitario: CAPEX / contribución antes de costos fijos (años)</t>
  </si>
  <si>
    <t xml:space="preserve">Sensibilidad del VPN a 5 años · escenario seleccionado</t>
  </si>
  <si>
    <t xml:space="preserve">Cada fila multiplica un grupo de supuestos (azul). La fila 'Base' debe igualar Modelo (control en la columna D).</t>
  </si>
  <si>
    <t xml:space="preserve">Caso</t>
  </si>
  <si>
    <t xml:space="preserve">VPN 5 años</t>
  </si>
  <si>
    <t xml:space="preserve">Δ vs base</t>
  </si>
  <si>
    <t xml:space="preserve">Control</t>
  </si>
  <si>
    <t xml:space="preserve">Tráfico</t>
  </si>
  <si>
    <t xml:space="preserve">Volumen incr.</t>
  </si>
  <si>
    <t xml:space="preserve">Enrolamiento</t>
  </si>
  <si>
    <t xml:space="preserve">Automatización</t>
  </si>
  <si>
    <t xml:space="preserve">Costo kit</t>
  </si>
  <si>
    <t xml:space="preserve">Tasa disputas</t>
  </si>
  <si>
    <t xml:space="preserve">Costos fijos</t>
  </si>
  <si>
    <t xml:space="preserve">Realización islero</t>
  </si>
  <si>
    <t xml:space="preserve">Margen/galón</t>
  </si>
  <si>
    <t xml:space="preserve">Mix cuenta a cuenta</t>
  </si>
  <si>
    <t xml:space="preserve">A1 Veh</t>
  </si>
  <si>
    <t xml:space="preserve">A1 Txn Flow</t>
  </si>
  <si>
    <t xml:space="preserve">A1 Beneficios</t>
  </si>
  <si>
    <t xml:space="preserve">A1 OPEX</t>
  </si>
  <si>
    <t xml:space="preserve">A1 CAPEX</t>
  </si>
  <si>
    <t xml:space="preserve">A1 FCF</t>
  </si>
  <si>
    <t xml:space="preserve">A2 Veh</t>
  </si>
  <si>
    <t xml:space="preserve">A2 Txn Flow</t>
  </si>
  <si>
    <t xml:space="preserve">A2 Beneficios</t>
  </si>
  <si>
    <t xml:space="preserve">A2 OPEX</t>
  </si>
  <si>
    <t xml:space="preserve">A2 CAPEX</t>
  </si>
  <si>
    <t xml:space="preserve">A2 FCF</t>
  </si>
  <si>
    <t xml:space="preserve">A3 Veh</t>
  </si>
  <si>
    <t xml:space="preserve">A3 Txn Flow</t>
  </si>
  <si>
    <t xml:space="preserve">A3 Beneficios</t>
  </si>
  <si>
    <t xml:space="preserve">A3 OPEX</t>
  </si>
  <si>
    <t xml:space="preserve">A3 CAPEX</t>
  </si>
  <si>
    <t xml:space="preserve">A3 FCF</t>
  </si>
  <si>
    <t xml:space="preserve">A4 Veh</t>
  </si>
  <si>
    <t xml:space="preserve">A4 Txn Flow</t>
  </si>
  <si>
    <t xml:space="preserve">A4 Beneficios</t>
  </si>
  <si>
    <t xml:space="preserve">A4 OPEX</t>
  </si>
  <si>
    <t xml:space="preserve">A4 CAPEX</t>
  </si>
  <si>
    <t xml:space="preserve">A4 FCF</t>
  </si>
  <si>
    <t xml:space="preserve">A5 Veh</t>
  </si>
  <si>
    <t xml:space="preserve">A5 Txn Flow</t>
  </si>
  <si>
    <t xml:space="preserve">A5 Beneficios</t>
  </si>
  <si>
    <t xml:space="preserve">A5 OPEX</t>
  </si>
  <si>
    <t xml:space="preserve">A5 CAPEX</t>
  </si>
  <si>
    <t xml:space="preserve">A5 FCF</t>
  </si>
  <si>
    <t xml:space="preserve">Base</t>
  </si>
  <si>
    <t xml:space="preserve">Tráfico −25 %</t>
  </si>
  <si>
    <t xml:space="preserve">Tráfico +25 %</t>
  </si>
  <si>
    <t xml:space="preserve">Volumen incr. −25 %</t>
  </si>
  <si>
    <t xml:space="preserve">Volumen incr. +25 %</t>
  </si>
  <si>
    <t xml:space="preserve">Enrolamiento −25 %</t>
  </si>
  <si>
    <t xml:space="preserve">Enrolamiento +25 %</t>
  </si>
  <si>
    <t xml:space="preserve">Automatización −25 %</t>
  </si>
  <si>
    <t xml:space="preserve">Automatización +25 %</t>
  </si>
  <si>
    <t xml:space="preserve">Costo kit −25 %</t>
  </si>
  <si>
    <t xml:space="preserve">Costo kit +25 %</t>
  </si>
  <si>
    <t xml:space="preserve">Tasa disputas −25 %</t>
  </si>
  <si>
    <t xml:space="preserve">Tasa disputas +25 %</t>
  </si>
  <si>
    <t xml:space="preserve">Costos fijos −25 %</t>
  </si>
  <si>
    <t xml:space="preserve">Costos fijos +25 %</t>
  </si>
  <si>
    <t xml:space="preserve">Realización islero −25 %</t>
  </si>
  <si>
    <t xml:space="preserve">Realización islero +25 %</t>
  </si>
  <si>
    <t xml:space="preserve">Margen/galón −25 %</t>
  </si>
  <si>
    <t xml:space="preserve">Margen/galón +25 %</t>
  </si>
  <si>
    <t xml:space="preserve">Mix cuenta a cuenta −25 %</t>
  </si>
  <si>
    <t xml:space="preserve">Mix cuenta a cuenta +25 %</t>
  </si>
  <si>
    <t xml:space="preserve">Cálculos reproducibles del data room</t>
  </si>
  <si>
    <t xml:space="preserve">Tabla A · Etapa</t>
  </si>
  <si>
    <t xml:space="preserve">Vehículos</t>
  </si>
  <si>
    <t xml:space="preserve">Conversión</t>
  </si>
  <si>
    <t xml:space="preserve">E2E acumulado</t>
  </si>
  <si>
    <t xml:space="preserve">Conversión +10 pp (tope 100 %)</t>
  </si>
  <si>
    <t xml:space="preserve">E2E si mejora solo esta etapa</t>
  </si>
  <si>
    <t xml:space="preserve">Δ pp E2E</t>
  </si>
  <si>
    <t xml:space="preserve">Ingresaron a isla Flow</t>
  </si>
  <si>
    <t xml:space="preserve">Placa leída ≥ umbral</t>
  </si>
  <si>
    <t xml:space="preserve">Placa con cuenta enrolada</t>
  </si>
  <si>
    <t xml:space="preserve">Conductor verificado (facial + liveness)</t>
  </si>
  <si>
    <t xml:space="preserve">Preautorización aprobada</t>
  </si>
  <si>
    <t xml:space="preserve">Despacho y cierre sin intervención</t>
  </si>
  <si>
    <t xml:space="preserve">Enrolados que llegan (estimado) = ingresos × tasa de enrolamiento de placas leídas</t>
  </si>
  <si>
    <t xml:space="preserve">Automatización sobre enrolados (meta 70 % con esta base)</t>
  </si>
  <si>
    <t xml:space="preserve">Tabla B · Condición</t>
  </si>
  <si>
    <t xml:space="preserve">% tráfico</t>
  </si>
  <si>
    <t xml:space="preserve">Lectura correcta</t>
  </si>
  <si>
    <t xml:space="preserve">Falso positivo</t>
  </si>
  <si>
    <t xml:space="preserve">Pérdida ponderada (pp)</t>
  </si>
  <si>
    <t xml:space="preserve">FP ponderado</t>
  </si>
  <si>
    <t xml:space="preserve">Día claro</t>
  </si>
  <si>
    <t xml:space="preserve">Noche</t>
  </si>
  <si>
    <t xml:space="preserve">Lluvia</t>
  </si>
  <si>
    <t xml:space="preserve">Placa sucia</t>
  </si>
  <si>
    <t xml:space="preserve">Motocicletas</t>
  </si>
  <si>
    <t xml:space="preserve">Ponderado</t>
  </si>
  <si>
    <t xml:space="preserve">vs. 97 % del proveedor (solo día claro)</t>
  </si>
  <si>
    <t xml:space="preserve">Ponderado sin motocicletas</t>
  </si>
  <si>
    <t xml:space="preserve">Tabla C · Umbral</t>
  </si>
  <si>
    <t xml:space="preserve">FRR</t>
  </si>
  <si>
    <t xml:space="preserve">FAR</t>
  </si>
  <si>
    <t xml:space="preserve">APCER</t>
  </si>
  <si>
    <t xml:space="preserve">BPCER</t>
  </si>
  <si>
    <t xml:space="preserve">Rechazo genuino total</t>
  </si>
  <si>
    <t xml:space="preserve">Pasa (con 9,8 % falla de captura)</t>
  </si>
  <si>
    <t xml:space="preserve">0,60</t>
  </si>
  <si>
    <t xml:space="preserve">0,70 actual</t>
  </si>
  <si>
    <t xml:space="preserve">0,80</t>
  </si>
  <si>
    <t xml:space="preserve">Funnel Tabla A, etapa facial: 83,0 % → coherente con 0,70 si los errores son independientes</t>
  </si>
  <si>
    <t xml:space="preserve">Disputas</t>
  </si>
  <si>
    <t xml:space="preserve">Casos en CRM</t>
  </si>
  <si>
    <t xml:space="preserve">Transacciones Flow</t>
  </si>
  <si>
    <t xml:space="preserve">Tasa CRM / transacciones Flow</t>
  </si>
  <si>
    <t xml:space="preserve">Disputas implícitas con 0,42 % del adquirente</t>
  </si>
  <si>
    <t xml:space="preserve">Pendiente semanal (sem. 1→8)</t>
  </si>
  <si>
    <t xml:space="preserve">Proyección semana 9 (lineal)</t>
  </si>
  <si>
    <t xml:space="preserve">Cruza el umbral de 0,65 %</t>
  </si>
  <si>
    <t xml:space="preserve">Costos · red completa (plan directivo)</t>
  </si>
  <si>
    <t xml:space="preserve">CAPEX base 420 estaciones × 6 islas + POS (sin instalación)</t>
  </si>
  <si>
    <t xml:space="preserve">Conciliación completa en la hoja Controles</t>
  </si>
  <si>
    <t xml:space="preserve">OPEX anual de islas (420 × 6)</t>
  </si>
  <si>
    <t xml:space="preserve">Utilización de islas hoy (245 veh × 6:40 / 6 islas × 18 h)</t>
  </si>
  <si>
    <t xml:space="preserve">Localización Colombia / Perú</t>
  </si>
  <si>
    <t xml:space="preserve">Este modelo está en COP y representa Colombia. Las 5 estaciones de Perú en F2 se abren solo con un caso propio en PEN y validación legal local.</t>
  </si>
  <si>
    <t xml:space="preserve">Tema</t>
  </si>
  <si>
    <t xml:space="preserve">Colombia</t>
  </si>
  <si>
    <t xml:space="preserve">Perú</t>
  </si>
  <si>
    <t xml:space="preserve">Condición antes de abrir</t>
  </si>
  <si>
    <t xml:space="preserve">Moneda y economía</t>
  </si>
  <si>
    <t xml:space="preserve">COP: supuestos de este modelo</t>
  </si>
  <si>
    <t xml:space="preserve">PEN: ticket, margen/galón, MDR, impuestos, costos de instalación y salarios propios</t>
  </si>
  <si>
    <t xml:space="preserve">Workbook PEN aprobado por Finanzas</t>
  </si>
  <si>
    <t xml:space="preserve">Datos personales</t>
  </si>
  <si>
    <t xml:space="preserve">Ley 1581 de 2012; inscripción en el RNBD según el ámbito del Decreto 090 de 2018 (el resto de obligaciones aplica siempre)</t>
  </si>
  <si>
    <t xml:space="preserve">Ley 29733 y su reglamento (D.S. 016-2024-JUS); inscripción del banco de datos ante la autoridad</t>
  </si>
  <si>
    <t xml:space="preserve">Concepto jurídico por país</t>
  </si>
  <si>
    <t xml:space="preserve">Biometría</t>
  </si>
  <si>
    <t xml:space="preserve">Dato sensible: autorización expresa, finalidad, alternativa no biométrica</t>
  </si>
  <si>
    <t xml:space="preserve">Dato sensible: consentimiento expreso y obligaciones del reglamento</t>
  </si>
  <si>
    <t xml:space="preserve">DPIA aprobada por país</t>
  </si>
  <si>
    <t xml:space="preserve">Transferencias</t>
  </si>
  <si>
    <t xml:space="preserve">Contratos con encargados y flujo internacional documentado</t>
  </si>
  <si>
    <t xml:space="preserve">Transferencia y encargados documentados</t>
  </si>
  <si>
    <t xml:space="preserve">Mapa de datos y proveedores</t>
  </si>
  <si>
    <t xml:space="preserve">Pagos</t>
  </si>
  <si>
    <t xml:space="preserve">PSP, adquirente, emisor; pagos inmediatos locales</t>
  </si>
  <si>
    <t xml:space="preserve">PSP, adquirente, emisor; ecosistema interoperable local</t>
  </si>
  <si>
    <t xml:space="preserve">Matriz de credenciales por país (CIT/MIT, tokens, autorización parcial)</t>
  </si>
  <si>
    <t xml:space="preserve">Uso del presupuesto de USD 4,2 M en 12 meses (escenario seleccionado)</t>
  </si>
  <si>
    <t xml:space="preserve">Rubro</t>
  </si>
  <si>
    <t xml:space="preserve">% del presupuesto</t>
  </si>
  <si>
    <t xml:space="preserve">CAPEX (kits + POS)</t>
  </si>
  <si>
    <t xml:space="preserve">OPEX de islas, PSP, disputas, LLM</t>
  </si>
  <si>
    <t xml:space="preserve">(−) Beneficios del año 1</t>
  </si>
  <si>
    <t xml:space="preserve">Uso neto de caja</t>
  </si>
  <si>
    <t xml:space="preserve">Holgura (reserva para contingencia y compuertas)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</si>
</sst>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;\(#,##0\);\-"/>
    <numFmt numFmtId="167" formatCode="\$0.00"/>
    <numFmt numFmtId="168" formatCode="0.0\x"/>
    <numFmt numFmtId="169" formatCode="\$#,##0.00;&quot;($&quot;#,##0.00\);\-"/>
    <numFmt numFmtId="170" formatCode="0.00%;\(0.00%\);\-"/>
    <numFmt numFmtId="171" formatCode="0.0"/>
    <numFmt numFmtId="172" formatCode="0.0%;\(0.0%\);\-"/>
    <numFmt numFmtId="173" formatCode="\$#,##0;&quot;($&quot;#,##0\);\-"/>
    <numFmt numFmtId="174" formatCode="0.00\x"/>
    <numFmt numFmtId="175" formatCode="0.00"/>
    <numFmt numFmtId="176" formatCode="\$#,##0.00"/>
    <numFmt numFmtId="177" formatCode="0.0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5601D"/>
        <bgColor rgb="FF008000"/>
      </patternFill>
    </fill>
    <fill>
      <patternFill patternType="solid">
        <fgColor rgb="FFCCFFD6"/>
        <bgColor rgb="FFCCFFFF"/>
      </patternFill>
    </fill>
    <fill>
      <patternFill patternType="solid">
        <fgColor rgb="FF54A771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4A771"/>
      <rgbColor rgb="FF1560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14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5" t="s">
        <v>15</v>
      </c>
      <c r="B3" s="4"/>
      <c r="C3" s="6" t="s">
        <v>16</v>
      </c>
      <c r="D3" s="7" t="n">
        <f aca="false">MATCH(C3,{"A","B","C"},0)</f>
        <v>3</v>
      </c>
      <c r="E3" s="4" t="s">
        <v>17</v>
      </c>
      <c r="F3" s="4"/>
      <c r="G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</row>
    <row r="5" customFormat="false" ht="26.85" hidden="false" customHeight="false" outlineLevel="0" collapsed="false">
      <c r="A5" s="8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</row>
    <row r="6" customFormat="false" ht="15" hidden="false" customHeight="false" outlineLevel="0" collapsed="false">
      <c r="A6" s="7" t="s">
        <v>25</v>
      </c>
      <c r="B6" s="7" t="s">
        <v>26</v>
      </c>
      <c r="C6" s="9" t="n">
        <v>4000</v>
      </c>
      <c r="D6" s="9" t="n">
        <v>4000</v>
      </c>
      <c r="E6" s="9" t="n">
        <v>4000</v>
      </c>
      <c r="F6" s="10" t="n">
        <f aca="false">INDEX(C6:E6,$D$3)</f>
        <v>4000</v>
      </c>
      <c r="G6" s="11" t="s">
        <v>27</v>
      </c>
    </row>
    <row r="7" customFormat="false" ht="15" hidden="false" customHeight="false" outlineLevel="0" collapsed="false">
      <c r="A7" s="7" t="s">
        <v>28</v>
      </c>
      <c r="B7" s="7" t="s">
        <v>29</v>
      </c>
      <c r="C7" s="9" t="n">
        <v>118000</v>
      </c>
      <c r="D7" s="9" t="n">
        <v>118000</v>
      </c>
      <c r="E7" s="9" t="n">
        <v>118000</v>
      </c>
      <c r="F7" s="10" t="n">
        <f aca="false">INDEX(C7:E7,$D$3)</f>
        <v>118000</v>
      </c>
      <c r="G7" s="11" t="s">
        <v>30</v>
      </c>
    </row>
    <row r="8" customFormat="false" ht="15" hidden="false" customHeight="false" outlineLevel="0" collapsed="false">
      <c r="A8" s="7" t="s">
        <v>31</v>
      </c>
      <c r="B8" s="7" t="s">
        <v>32</v>
      </c>
      <c r="C8" s="9" t="n">
        <v>16000</v>
      </c>
      <c r="D8" s="9" t="n">
        <v>16000</v>
      </c>
      <c r="E8" s="9" t="n">
        <v>16000</v>
      </c>
      <c r="F8" s="10" t="n">
        <f aca="false">INDEX(C8:E8,$D$3)</f>
        <v>16000</v>
      </c>
      <c r="G8" s="11" t="s">
        <v>33</v>
      </c>
    </row>
    <row r="9" customFormat="false" ht="15" hidden="false" customHeight="false" outlineLevel="0" collapsed="false">
      <c r="A9" s="7" t="s">
        <v>34</v>
      </c>
      <c r="B9" s="7" t="s">
        <v>35</v>
      </c>
      <c r="C9" s="12" t="n">
        <v>0.21</v>
      </c>
      <c r="D9" s="12" t="n">
        <v>0.21</v>
      </c>
      <c r="E9" s="12" t="n">
        <v>0.21</v>
      </c>
      <c r="F9" s="13" t="n">
        <f aca="false">INDEX(C9:E9,$D$3)</f>
        <v>0.21</v>
      </c>
      <c r="G9" s="11" t="s">
        <v>36</v>
      </c>
    </row>
    <row r="10" customFormat="false" ht="15" hidden="false" customHeight="false" outlineLevel="0" collapsed="false">
      <c r="A10" s="7" t="s">
        <v>37</v>
      </c>
      <c r="B10" s="7" t="s">
        <v>38</v>
      </c>
      <c r="C10" s="9" t="n">
        <v>245</v>
      </c>
      <c r="D10" s="9" t="n">
        <v>245</v>
      </c>
      <c r="E10" s="9" t="n">
        <v>245</v>
      </c>
      <c r="F10" s="10" t="n">
        <f aca="false">INDEX(C10:E10,$D$3)</f>
        <v>245</v>
      </c>
      <c r="G10" s="11" t="s">
        <v>39</v>
      </c>
    </row>
    <row r="11" customFormat="false" ht="15" hidden="false" customHeight="false" outlineLevel="0" collapsed="false">
      <c r="A11" s="7" t="s">
        <v>40</v>
      </c>
      <c r="B11" s="7" t="s">
        <v>41</v>
      </c>
      <c r="C11" s="14" t="n">
        <v>1</v>
      </c>
      <c r="D11" s="14" t="n">
        <v>1</v>
      </c>
      <c r="E11" s="14" t="n">
        <v>1.8</v>
      </c>
      <c r="F11" s="15" t="n">
        <f aca="false">INDEX(C11:E11,$D$3)</f>
        <v>1.8</v>
      </c>
      <c r="G11" s="11" t="s">
        <v>42</v>
      </c>
    </row>
    <row r="12" customFormat="false" ht="15" hidden="false" customHeight="false" outlineLevel="0" collapsed="false">
      <c r="A12" s="7" t="s">
        <v>43</v>
      </c>
      <c r="B12" s="7" t="s">
        <v>44</v>
      </c>
      <c r="C12" s="9" t="n">
        <v>365</v>
      </c>
      <c r="D12" s="9" t="n">
        <v>365</v>
      </c>
      <c r="E12" s="9" t="n">
        <v>365</v>
      </c>
      <c r="F12" s="10" t="n">
        <f aca="false">INDEX(C12:E12,$D$3)</f>
        <v>365</v>
      </c>
      <c r="G12" s="11" t="s">
        <v>45</v>
      </c>
    </row>
    <row r="13" customFormat="false" ht="15" hidden="false" customHeight="false" outlineLevel="0" collapsed="false">
      <c r="A13" s="7" t="s">
        <v>46</v>
      </c>
      <c r="B13" s="7" t="s">
        <v>47</v>
      </c>
      <c r="C13" s="9" t="n">
        <v>6</v>
      </c>
      <c r="D13" s="9" t="n">
        <v>2</v>
      </c>
      <c r="E13" s="9" t="n">
        <v>2</v>
      </c>
      <c r="F13" s="10" t="n">
        <f aca="false">INDEX(C13:E13,$D$3)</f>
        <v>2</v>
      </c>
      <c r="G13" s="11" t="s">
        <v>48</v>
      </c>
    </row>
    <row r="14" customFormat="false" ht="15" hidden="false" customHeight="false" outlineLevel="0" collapsed="false">
      <c r="A14" s="7" t="s">
        <v>49</v>
      </c>
      <c r="B14" s="7" t="s">
        <v>50</v>
      </c>
      <c r="C14" s="16" t="n">
        <v>6800</v>
      </c>
      <c r="D14" s="16" t="n">
        <v>6800</v>
      </c>
      <c r="E14" s="16" t="n">
        <v>6800</v>
      </c>
      <c r="F14" s="17" t="n">
        <f aca="false">INDEX(C14:E14,$D$3)</f>
        <v>6800</v>
      </c>
      <c r="G14" s="11" t="s">
        <v>36</v>
      </c>
    </row>
    <row r="15" customFormat="false" ht="15" hidden="false" customHeight="false" outlineLevel="0" collapsed="false">
      <c r="A15" s="7" t="s">
        <v>51</v>
      </c>
      <c r="B15" s="7" t="s">
        <v>52</v>
      </c>
      <c r="C15" s="18" t="n">
        <v>0.1</v>
      </c>
      <c r="D15" s="18" t="n">
        <v>0.1</v>
      </c>
      <c r="E15" s="18" t="n">
        <v>0.1</v>
      </c>
      <c r="F15" s="19" t="n">
        <f aca="false">INDEX(C15:E15,$D$3)</f>
        <v>0.1</v>
      </c>
      <c r="G15" s="11" t="s">
        <v>45</v>
      </c>
    </row>
    <row r="16" customFormat="false" ht="15" hidden="false" customHeight="false" outlineLevel="0" collapsed="false">
      <c r="A16" s="7" t="s">
        <v>53</v>
      </c>
      <c r="B16" s="7" t="s">
        <v>50</v>
      </c>
      <c r="C16" s="16" t="n">
        <v>9500</v>
      </c>
      <c r="D16" s="16" t="n">
        <v>9500</v>
      </c>
      <c r="E16" s="16" t="n">
        <v>9500</v>
      </c>
      <c r="F16" s="17" t="n">
        <f aca="false">INDEX(C16:E16,$D$3)</f>
        <v>9500</v>
      </c>
      <c r="G16" s="11" t="s">
        <v>36</v>
      </c>
    </row>
    <row r="17" customFormat="false" ht="15" hidden="false" customHeight="false" outlineLevel="0" collapsed="false">
      <c r="A17" s="7" t="s">
        <v>54</v>
      </c>
      <c r="B17" s="7" t="s">
        <v>50</v>
      </c>
      <c r="C17" s="16" t="n">
        <v>2000</v>
      </c>
      <c r="D17" s="16" t="n">
        <v>2000</v>
      </c>
      <c r="E17" s="16" t="n">
        <v>2000</v>
      </c>
      <c r="F17" s="17" t="n">
        <f aca="false">INDEX(C17:E17,$D$3)</f>
        <v>2000</v>
      </c>
      <c r="G17" s="11" t="s">
        <v>36</v>
      </c>
    </row>
    <row r="18" customFormat="false" ht="15" hidden="false" customHeight="false" outlineLevel="0" collapsed="false">
      <c r="A18" s="7" t="s">
        <v>55</v>
      </c>
      <c r="B18" s="7" t="s">
        <v>50</v>
      </c>
      <c r="C18" s="16" t="n">
        <v>85</v>
      </c>
      <c r="D18" s="16" t="n">
        <v>85</v>
      </c>
      <c r="E18" s="16" t="n">
        <v>85</v>
      </c>
      <c r="F18" s="17" t="n">
        <f aca="false">INDEX(C18:E18,$D$3)</f>
        <v>85</v>
      </c>
      <c r="G18" s="11" t="s">
        <v>36</v>
      </c>
    </row>
    <row r="19" customFormat="false" ht="15" hidden="false" customHeight="false" outlineLevel="0" collapsed="false">
      <c r="A19" s="7" t="s">
        <v>56</v>
      </c>
      <c r="B19" s="7" t="s">
        <v>52</v>
      </c>
      <c r="C19" s="18" t="n">
        <v>0.016</v>
      </c>
      <c r="D19" s="18" t="n">
        <v>0.016</v>
      </c>
      <c r="E19" s="18" t="n">
        <v>0.016</v>
      </c>
      <c r="F19" s="19" t="n">
        <f aca="false">INDEX(C19:E19,$D$3)</f>
        <v>0.016</v>
      </c>
      <c r="G19" s="11" t="s">
        <v>57</v>
      </c>
    </row>
    <row r="20" customFormat="false" ht="15" hidden="false" customHeight="false" outlineLevel="0" collapsed="false">
      <c r="A20" s="7" t="s">
        <v>58</v>
      </c>
      <c r="B20" s="7" t="s">
        <v>52</v>
      </c>
      <c r="C20" s="18" t="n">
        <v>0.003</v>
      </c>
      <c r="D20" s="18" t="n">
        <v>0.003</v>
      </c>
      <c r="E20" s="18" t="n">
        <v>0.003</v>
      </c>
      <c r="F20" s="19" t="n">
        <f aca="false">INDEX(C20:E20,$D$3)</f>
        <v>0.003</v>
      </c>
      <c r="G20" s="11" t="s">
        <v>30</v>
      </c>
    </row>
    <row r="21" customFormat="false" ht="15" hidden="false" customHeight="false" outlineLevel="0" collapsed="false">
      <c r="A21" s="7" t="s">
        <v>59</v>
      </c>
      <c r="B21" s="7" t="s">
        <v>60</v>
      </c>
      <c r="C21" s="18" t="n">
        <v>0.01</v>
      </c>
      <c r="D21" s="18" t="n">
        <v>0.01</v>
      </c>
      <c r="E21" s="18" t="n">
        <v>0.01</v>
      </c>
      <c r="F21" s="19" t="n">
        <f aca="false">INDEX(C21:E21,$D$3)</f>
        <v>0.01</v>
      </c>
      <c r="G21" s="11" t="s">
        <v>61</v>
      </c>
    </row>
    <row r="22" customFormat="false" ht="15" hidden="false" customHeight="false" outlineLevel="0" collapsed="false">
      <c r="A22" s="7" t="s">
        <v>62</v>
      </c>
      <c r="B22" s="7" t="s">
        <v>52</v>
      </c>
      <c r="C22" s="18" t="n">
        <v>0.3</v>
      </c>
      <c r="D22" s="18" t="n">
        <v>0.3</v>
      </c>
      <c r="E22" s="18" t="n">
        <v>0.3</v>
      </c>
      <c r="F22" s="19" t="n">
        <f aca="false">INDEX(C22:E22,$D$3)</f>
        <v>0.3</v>
      </c>
      <c r="G22" s="11" t="s">
        <v>63</v>
      </c>
    </row>
    <row r="23" customFormat="false" ht="15" hidden="false" customHeight="false" outlineLevel="0" collapsed="false">
      <c r="A23" s="7" t="s">
        <v>64</v>
      </c>
      <c r="B23" s="7" t="s">
        <v>65</v>
      </c>
      <c r="C23" s="20" t="n">
        <v>3</v>
      </c>
      <c r="D23" s="20" t="n">
        <v>3</v>
      </c>
      <c r="E23" s="20" t="n">
        <v>3</v>
      </c>
      <c r="F23" s="21" t="n">
        <f aca="false">INDEX(C23:E23,$D$3)</f>
        <v>3</v>
      </c>
      <c r="G23" s="11" t="s">
        <v>66</v>
      </c>
    </row>
    <row r="24" customFormat="false" ht="15" hidden="false" customHeight="false" outlineLevel="0" collapsed="false">
      <c r="A24" s="7" t="s">
        <v>67</v>
      </c>
      <c r="B24" s="7" t="s">
        <v>68</v>
      </c>
      <c r="C24" s="12" t="n">
        <v>3.6</v>
      </c>
      <c r="D24" s="12" t="n">
        <v>3.6</v>
      </c>
      <c r="E24" s="12" t="n">
        <v>3.6</v>
      </c>
      <c r="F24" s="13" t="n">
        <f aca="false">INDEX(C24:E24,$D$3)</f>
        <v>3.6</v>
      </c>
      <c r="G24" s="11" t="s">
        <v>45</v>
      </c>
    </row>
    <row r="25" customFormat="false" ht="15" hidden="false" customHeight="false" outlineLevel="0" collapsed="false">
      <c r="A25" s="7" t="s">
        <v>69</v>
      </c>
      <c r="B25" s="7" t="s">
        <v>50</v>
      </c>
      <c r="C25" s="16" t="n">
        <v>0.02</v>
      </c>
      <c r="D25" s="16" t="n">
        <v>0.02</v>
      </c>
      <c r="E25" s="16" t="n">
        <v>0.02</v>
      </c>
      <c r="F25" s="17" t="n">
        <f aca="false">INDEX(C25:E25,$D$3)</f>
        <v>0.02</v>
      </c>
      <c r="G25" s="11" t="s">
        <v>45</v>
      </c>
    </row>
    <row r="26" customFormat="false" ht="15" hidden="false" customHeight="false" outlineLevel="0" collapsed="false">
      <c r="A26" s="7" t="s">
        <v>70</v>
      </c>
      <c r="B26" s="7" t="s">
        <v>52</v>
      </c>
      <c r="C26" s="18" t="n">
        <v>0.4</v>
      </c>
      <c r="D26" s="18" t="n">
        <v>0.4</v>
      </c>
      <c r="E26" s="18" t="n">
        <v>0.4</v>
      </c>
      <c r="F26" s="19" t="n">
        <f aca="false">INDEX(C26:E26,$D$3)</f>
        <v>0.4</v>
      </c>
      <c r="G26" s="11" t="s">
        <v>45</v>
      </c>
    </row>
    <row r="27" customFormat="false" ht="15" hidden="false" customHeight="false" outlineLevel="0" collapsed="false">
      <c r="A27" s="7" t="s">
        <v>71</v>
      </c>
      <c r="B27" s="7" t="s">
        <v>50</v>
      </c>
      <c r="C27" s="16" t="n">
        <v>15</v>
      </c>
      <c r="D27" s="16" t="n">
        <v>15</v>
      </c>
      <c r="E27" s="16" t="n">
        <v>15</v>
      </c>
      <c r="F27" s="17" t="n">
        <f aca="false">INDEX(C27:E27,$D$3)</f>
        <v>15</v>
      </c>
      <c r="G27" s="11" t="s">
        <v>45</v>
      </c>
    </row>
    <row r="28" customFormat="false" ht="15" hidden="false" customHeight="false" outlineLevel="0" collapsed="false">
      <c r="A28" s="7" t="s">
        <v>72</v>
      </c>
      <c r="B28" s="7" t="s">
        <v>52</v>
      </c>
      <c r="C28" s="18" t="n">
        <v>0.04</v>
      </c>
      <c r="D28" s="18" t="n">
        <v>0.04</v>
      </c>
      <c r="E28" s="18" t="n">
        <v>0.04</v>
      </c>
      <c r="F28" s="19" t="n">
        <f aca="false">INDEX(C28:E28,$D$3)</f>
        <v>0.04</v>
      </c>
      <c r="G28" s="11" t="s">
        <v>45</v>
      </c>
    </row>
    <row r="29" customFormat="false" ht="15" hidden="false" customHeight="false" outlineLevel="0" collapsed="false">
      <c r="A29" s="7" t="s">
        <v>73</v>
      </c>
      <c r="B29" s="7" t="s">
        <v>50</v>
      </c>
      <c r="C29" s="16" t="n">
        <v>0.04</v>
      </c>
      <c r="D29" s="16" t="n">
        <v>0.04</v>
      </c>
      <c r="E29" s="16" t="n">
        <v>0.04</v>
      </c>
      <c r="F29" s="17" t="n">
        <f aca="false">INDEX(C29:E29,$D$3)</f>
        <v>0.04</v>
      </c>
      <c r="G29" s="11" t="s">
        <v>36</v>
      </c>
    </row>
    <row r="30" customFormat="false" ht="15" hidden="false" customHeight="false" outlineLevel="0" collapsed="false">
      <c r="A30" s="7" t="s">
        <v>74</v>
      </c>
      <c r="B30" s="7" t="s">
        <v>52</v>
      </c>
      <c r="C30" s="18" t="n">
        <v>0.12</v>
      </c>
      <c r="D30" s="18" t="n">
        <v>0.12</v>
      </c>
      <c r="E30" s="18" t="n">
        <v>0.12</v>
      </c>
      <c r="F30" s="19" t="n">
        <f aca="false">INDEX(C30:E30,$D$3)</f>
        <v>0.12</v>
      </c>
      <c r="G30" s="11" t="s">
        <v>45</v>
      </c>
    </row>
    <row r="31" customFormat="false" ht="15" hidden="false" customHeight="false" outlineLevel="0" collapsed="false">
      <c r="A31" s="7" t="s">
        <v>75</v>
      </c>
      <c r="B31" s="7" t="s">
        <v>76</v>
      </c>
      <c r="C31" s="9" t="n">
        <v>3</v>
      </c>
      <c r="D31" s="9" t="n">
        <v>3</v>
      </c>
      <c r="E31" s="9" t="n">
        <v>3</v>
      </c>
      <c r="F31" s="10" t="n">
        <f aca="false">INDEX(C31:E31,$D$3)</f>
        <v>3</v>
      </c>
      <c r="G31" s="11" t="s">
        <v>77</v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5" t="s">
        <v>78</v>
      </c>
      <c r="B33" s="4"/>
      <c r="C33" s="4"/>
      <c r="D33" s="4"/>
      <c r="E33" s="4"/>
      <c r="F33" s="4"/>
      <c r="G33" s="4"/>
    </row>
    <row r="34" customFormat="false" ht="26.85" hidden="false" customHeight="false" outlineLevel="0" collapsed="false">
      <c r="A34" s="8" t="s">
        <v>18</v>
      </c>
      <c r="B34" s="8" t="s">
        <v>79</v>
      </c>
      <c r="C34" s="8" t="s">
        <v>20</v>
      </c>
      <c r="D34" s="8" t="s">
        <v>21</v>
      </c>
      <c r="E34" s="8" t="s">
        <v>22</v>
      </c>
      <c r="F34" s="8" t="s">
        <v>23</v>
      </c>
      <c r="G34" s="8" t="s">
        <v>24</v>
      </c>
    </row>
    <row r="35" customFormat="false" ht="15" hidden="false" customHeight="false" outlineLevel="0" collapsed="false">
      <c r="A35" s="7" t="s">
        <v>80</v>
      </c>
      <c r="B35" s="7" t="s">
        <v>81</v>
      </c>
      <c r="C35" s="9" t="n">
        <v>420</v>
      </c>
      <c r="D35" s="9" t="n">
        <v>120</v>
      </c>
      <c r="E35" s="9" t="n">
        <v>120</v>
      </c>
      <c r="F35" s="22" t="n">
        <f aca="false">INDEX(C35:E35,$D$3)</f>
        <v>120</v>
      </c>
      <c r="G35" s="11" t="s">
        <v>82</v>
      </c>
    </row>
    <row r="36" customFormat="false" ht="15" hidden="false" customHeight="false" outlineLevel="0" collapsed="false">
      <c r="A36" s="7" t="s">
        <v>80</v>
      </c>
      <c r="B36" s="7" t="s">
        <v>83</v>
      </c>
      <c r="C36" s="9" t="n">
        <v>420</v>
      </c>
      <c r="D36" s="9" t="n">
        <v>300</v>
      </c>
      <c r="E36" s="9" t="n">
        <v>200</v>
      </c>
      <c r="F36" s="22" t="n">
        <f aca="false">INDEX(C36:E36,$D$3)</f>
        <v>200</v>
      </c>
      <c r="G36" s="11"/>
    </row>
    <row r="37" customFormat="false" ht="15" hidden="false" customHeight="false" outlineLevel="0" collapsed="false">
      <c r="A37" s="7" t="s">
        <v>80</v>
      </c>
      <c r="B37" s="7" t="s">
        <v>84</v>
      </c>
      <c r="C37" s="9" t="n">
        <v>420</v>
      </c>
      <c r="D37" s="9" t="n">
        <v>420</v>
      </c>
      <c r="E37" s="9" t="n">
        <v>250</v>
      </c>
      <c r="F37" s="22" t="n">
        <f aca="false">INDEX(C37:E37,$D$3)</f>
        <v>250</v>
      </c>
      <c r="G37" s="11"/>
    </row>
    <row r="38" customFormat="false" ht="15" hidden="false" customHeight="false" outlineLevel="0" collapsed="false">
      <c r="A38" s="7" t="s">
        <v>85</v>
      </c>
      <c r="B38" s="7" t="s">
        <v>81</v>
      </c>
      <c r="C38" s="9" t="n">
        <v>60</v>
      </c>
      <c r="D38" s="9" t="n">
        <v>60</v>
      </c>
      <c r="E38" s="9" t="n">
        <v>60</v>
      </c>
      <c r="F38" s="22" t="n">
        <f aca="false">INDEX(C38:E38,$D$3)</f>
        <v>60</v>
      </c>
      <c r="G38" s="11" t="s">
        <v>86</v>
      </c>
    </row>
    <row r="39" customFormat="false" ht="15" hidden="false" customHeight="false" outlineLevel="0" collapsed="false">
      <c r="A39" s="7" t="s">
        <v>85</v>
      </c>
      <c r="B39" s="7" t="s">
        <v>83</v>
      </c>
      <c r="C39" s="9" t="n">
        <v>0</v>
      </c>
      <c r="D39" s="9" t="n">
        <v>0</v>
      </c>
      <c r="E39" s="9" t="n">
        <v>0</v>
      </c>
      <c r="F39" s="22" t="n">
        <f aca="false">INDEX(C39:E39,$D$3)</f>
        <v>0</v>
      </c>
      <c r="G39" s="11"/>
    </row>
    <row r="40" customFormat="false" ht="15" hidden="false" customHeight="false" outlineLevel="0" collapsed="false">
      <c r="A40" s="7" t="s">
        <v>85</v>
      </c>
      <c r="B40" s="7" t="s">
        <v>84</v>
      </c>
      <c r="C40" s="9" t="n">
        <v>0</v>
      </c>
      <c r="D40" s="9" t="n">
        <v>0</v>
      </c>
      <c r="E40" s="9" t="n">
        <v>0</v>
      </c>
      <c r="F40" s="22" t="n">
        <f aca="false">INDEX(C40:E40,$D$3)</f>
        <v>0</v>
      </c>
      <c r="G40" s="11"/>
    </row>
    <row r="41" customFormat="false" ht="15" hidden="false" customHeight="false" outlineLevel="0" collapsed="false">
      <c r="A41" s="7" t="s">
        <v>87</v>
      </c>
      <c r="B41" s="7" t="s">
        <v>81</v>
      </c>
      <c r="C41" s="23" t="n">
        <v>0.2</v>
      </c>
      <c r="D41" s="23" t="n">
        <v>0.2</v>
      </c>
      <c r="E41" s="23" t="n">
        <v>0.2</v>
      </c>
      <c r="F41" s="24" t="n">
        <f aca="false">INDEX(C41:E41,$D$3)</f>
        <v>0.2</v>
      </c>
      <c r="G41" s="11" t="s">
        <v>88</v>
      </c>
    </row>
    <row r="42" customFormat="false" ht="15" hidden="false" customHeight="false" outlineLevel="0" collapsed="false">
      <c r="A42" s="7" t="s">
        <v>87</v>
      </c>
      <c r="B42" s="7" t="s">
        <v>83</v>
      </c>
      <c r="C42" s="23" t="n">
        <v>0.3</v>
      </c>
      <c r="D42" s="23" t="n">
        <v>0.3</v>
      </c>
      <c r="E42" s="23" t="n">
        <v>0.3</v>
      </c>
      <c r="F42" s="24" t="n">
        <f aca="false">INDEX(C42:E42,$D$3)</f>
        <v>0.3</v>
      </c>
      <c r="G42" s="11"/>
    </row>
    <row r="43" customFormat="false" ht="15" hidden="false" customHeight="false" outlineLevel="0" collapsed="false">
      <c r="A43" s="7" t="s">
        <v>87</v>
      </c>
      <c r="B43" s="7" t="s">
        <v>84</v>
      </c>
      <c r="C43" s="23" t="n">
        <v>0.4</v>
      </c>
      <c r="D43" s="23" t="n">
        <v>0.4</v>
      </c>
      <c r="E43" s="23" t="n">
        <v>0.4</v>
      </c>
      <c r="F43" s="24" t="n">
        <f aca="false">INDEX(C43:E43,$D$3)</f>
        <v>0.4</v>
      </c>
      <c r="G43" s="11"/>
    </row>
    <row r="44" customFormat="false" ht="15" hidden="false" customHeight="false" outlineLevel="0" collapsed="false">
      <c r="A44" s="7" t="s">
        <v>89</v>
      </c>
      <c r="B44" s="7" t="s">
        <v>81</v>
      </c>
      <c r="C44" s="18" t="n">
        <v>0.7</v>
      </c>
      <c r="D44" s="18" t="n">
        <v>0.7</v>
      </c>
      <c r="E44" s="18" t="n">
        <v>0.7</v>
      </c>
      <c r="F44" s="25" t="n">
        <f aca="false">INDEX(C44:E44,$D$3)</f>
        <v>0.7</v>
      </c>
      <c r="G44" s="11" t="s">
        <v>90</v>
      </c>
    </row>
    <row r="45" customFormat="false" ht="15" hidden="false" customHeight="false" outlineLevel="0" collapsed="false">
      <c r="A45" s="7" t="s">
        <v>89</v>
      </c>
      <c r="B45" s="7" t="s">
        <v>83</v>
      </c>
      <c r="C45" s="18" t="n">
        <v>0.76</v>
      </c>
      <c r="D45" s="18" t="n">
        <v>0.76</v>
      </c>
      <c r="E45" s="18" t="n">
        <v>0.76</v>
      </c>
      <c r="F45" s="25" t="n">
        <f aca="false">INDEX(C45:E45,$D$3)</f>
        <v>0.76</v>
      </c>
      <c r="G45" s="11"/>
    </row>
    <row r="46" customFormat="false" ht="15" hidden="false" customHeight="false" outlineLevel="0" collapsed="false">
      <c r="A46" s="7" t="s">
        <v>89</v>
      </c>
      <c r="B46" s="7" t="s">
        <v>84</v>
      </c>
      <c r="C46" s="18" t="n">
        <v>0.8</v>
      </c>
      <c r="D46" s="18" t="n">
        <v>0.8</v>
      </c>
      <c r="E46" s="18" t="n">
        <v>0.8</v>
      </c>
      <c r="F46" s="25" t="n">
        <f aca="false">INDEX(C46:E46,$D$3)</f>
        <v>0.8</v>
      </c>
      <c r="G46" s="11"/>
    </row>
    <row r="47" customFormat="false" ht="15" hidden="false" customHeight="false" outlineLevel="0" collapsed="false">
      <c r="A47" s="7" t="s">
        <v>91</v>
      </c>
      <c r="B47" s="7" t="s">
        <v>81</v>
      </c>
      <c r="C47" s="26" t="n">
        <v>0.01</v>
      </c>
      <c r="D47" s="26" t="n">
        <v>0.01</v>
      </c>
      <c r="E47" s="26" t="n">
        <v>0.01</v>
      </c>
      <c r="F47" s="27" t="n">
        <f aca="false">INDEX(C47:E47,$D$3)</f>
        <v>0.01</v>
      </c>
      <c r="G47" s="11" t="s">
        <v>92</v>
      </c>
    </row>
    <row r="48" customFormat="false" ht="15" hidden="false" customHeight="false" outlineLevel="0" collapsed="false">
      <c r="A48" s="7" t="s">
        <v>91</v>
      </c>
      <c r="B48" s="7" t="s">
        <v>83</v>
      </c>
      <c r="C48" s="26" t="n">
        <v>0.02</v>
      </c>
      <c r="D48" s="26" t="n">
        <v>0.02</v>
      </c>
      <c r="E48" s="26" t="n">
        <v>0.02</v>
      </c>
      <c r="F48" s="27" t="n">
        <f aca="false">INDEX(C48:E48,$D$3)</f>
        <v>0.02</v>
      </c>
      <c r="G48" s="11"/>
    </row>
    <row r="49" customFormat="false" ht="15" hidden="false" customHeight="false" outlineLevel="0" collapsed="false">
      <c r="A49" s="7" t="s">
        <v>91</v>
      </c>
      <c r="B49" s="7" t="s">
        <v>84</v>
      </c>
      <c r="C49" s="26" t="n">
        <v>0.03</v>
      </c>
      <c r="D49" s="26" t="n">
        <v>0.03</v>
      </c>
      <c r="E49" s="26" t="n">
        <v>0.03</v>
      </c>
      <c r="F49" s="27" t="n">
        <f aca="false">INDEX(C49:E49,$D$3)</f>
        <v>0.03</v>
      </c>
      <c r="G49" s="11"/>
    </row>
    <row r="50" customFormat="false" ht="15" hidden="false" customHeight="false" outlineLevel="0" collapsed="false">
      <c r="A50" s="7" t="s">
        <v>93</v>
      </c>
      <c r="B50" s="7" t="s">
        <v>81</v>
      </c>
      <c r="C50" s="18" t="n">
        <v>0.1</v>
      </c>
      <c r="D50" s="18" t="n">
        <v>0.1</v>
      </c>
      <c r="E50" s="18" t="n">
        <v>0.1</v>
      </c>
      <c r="F50" s="25" t="n">
        <f aca="false">INDEX(C50:E50,$D$3)</f>
        <v>0.1</v>
      </c>
      <c r="G50" s="11" t="s">
        <v>45</v>
      </c>
    </row>
    <row r="51" customFormat="false" ht="15" hidden="false" customHeight="false" outlineLevel="0" collapsed="false">
      <c r="A51" s="7" t="s">
        <v>93</v>
      </c>
      <c r="B51" s="7" t="s">
        <v>83</v>
      </c>
      <c r="C51" s="18" t="n">
        <v>0.25</v>
      </c>
      <c r="D51" s="18" t="n">
        <v>0.25</v>
      </c>
      <c r="E51" s="18" t="n">
        <v>0.25</v>
      </c>
      <c r="F51" s="25" t="n">
        <f aca="false">INDEX(C51:E51,$D$3)</f>
        <v>0.25</v>
      </c>
      <c r="G51" s="11"/>
    </row>
    <row r="52" customFormat="false" ht="15" hidden="false" customHeight="false" outlineLevel="0" collapsed="false">
      <c r="A52" s="7" t="s">
        <v>93</v>
      </c>
      <c r="B52" s="7" t="s">
        <v>84</v>
      </c>
      <c r="C52" s="18" t="n">
        <v>0.35</v>
      </c>
      <c r="D52" s="18" t="n">
        <v>0.35</v>
      </c>
      <c r="E52" s="18" t="n">
        <v>0.35</v>
      </c>
      <c r="F52" s="25" t="n">
        <f aca="false">INDEX(C52:E52,$D$3)</f>
        <v>0.35</v>
      </c>
      <c r="G52" s="11"/>
    </row>
    <row r="53" customFormat="false" ht="15" hidden="false" customHeight="false" outlineLevel="0" collapsed="false">
      <c r="A53" s="7" t="s">
        <v>94</v>
      </c>
      <c r="B53" s="7" t="s">
        <v>81</v>
      </c>
      <c r="C53" s="18" t="n">
        <v>0</v>
      </c>
      <c r="D53" s="18" t="n">
        <v>0</v>
      </c>
      <c r="E53" s="18" t="n">
        <v>0</v>
      </c>
      <c r="F53" s="25" t="n">
        <f aca="false">INDEX(C53:E53,$D$3)</f>
        <v>0</v>
      </c>
      <c r="G53" s="11" t="s">
        <v>95</v>
      </c>
    </row>
    <row r="54" customFormat="false" ht="15" hidden="false" customHeight="false" outlineLevel="0" collapsed="false">
      <c r="A54" s="7" t="s">
        <v>94</v>
      </c>
      <c r="B54" s="7" t="s">
        <v>83</v>
      </c>
      <c r="C54" s="18" t="n">
        <v>0.35</v>
      </c>
      <c r="D54" s="18" t="n">
        <v>0.35</v>
      </c>
      <c r="E54" s="18" t="n">
        <v>0.35</v>
      </c>
      <c r="F54" s="25" t="n">
        <f aca="false">INDEX(C54:E54,$D$3)</f>
        <v>0.35</v>
      </c>
      <c r="G54" s="11"/>
    </row>
    <row r="55" customFormat="false" ht="15" hidden="false" customHeight="false" outlineLevel="0" collapsed="false">
      <c r="A55" s="7" t="s">
        <v>94</v>
      </c>
      <c r="B55" s="7" t="s">
        <v>84</v>
      </c>
      <c r="C55" s="18" t="n">
        <v>0.7</v>
      </c>
      <c r="D55" s="18" t="n">
        <v>0.7</v>
      </c>
      <c r="E55" s="18" t="n">
        <v>0.7</v>
      </c>
      <c r="F55" s="25" t="n">
        <f aca="false">INDEX(C55:E55,$D$3)</f>
        <v>0.7</v>
      </c>
      <c r="G55" s="11"/>
    </row>
    <row r="56" customFormat="false" ht="15" hidden="false" customHeight="false" outlineLevel="0" collapsed="false">
      <c r="A56" s="7" t="s">
        <v>96</v>
      </c>
      <c r="B56" s="7" t="s">
        <v>81</v>
      </c>
      <c r="C56" s="18" t="n">
        <v>0.0045</v>
      </c>
      <c r="D56" s="18" t="n">
        <v>0.0045</v>
      </c>
      <c r="E56" s="18" t="n">
        <v>0.0045</v>
      </c>
      <c r="F56" s="25" t="n">
        <f aca="false">INDEX(C56:E56,$D$3)</f>
        <v>0.0045</v>
      </c>
      <c r="G56" s="11" t="s">
        <v>97</v>
      </c>
    </row>
    <row r="57" customFormat="false" ht="15" hidden="false" customHeight="false" outlineLevel="0" collapsed="false">
      <c r="A57" s="7" t="s">
        <v>96</v>
      </c>
      <c r="B57" s="7" t="s">
        <v>83</v>
      </c>
      <c r="C57" s="18" t="n">
        <v>0.003</v>
      </c>
      <c r="D57" s="18" t="n">
        <v>0.003</v>
      </c>
      <c r="E57" s="18" t="n">
        <v>0.003</v>
      </c>
      <c r="F57" s="25" t="n">
        <f aca="false">INDEX(C57:E57,$D$3)</f>
        <v>0.003</v>
      </c>
      <c r="G57" s="11"/>
    </row>
    <row r="58" customFormat="false" ht="15" hidden="false" customHeight="false" outlineLevel="0" collapsed="false">
      <c r="A58" s="7" t="s">
        <v>96</v>
      </c>
      <c r="B58" s="7" t="s">
        <v>84</v>
      </c>
      <c r="C58" s="18" t="n">
        <v>0.0025</v>
      </c>
      <c r="D58" s="18" t="n">
        <v>0.0025</v>
      </c>
      <c r="E58" s="18" t="n">
        <v>0.0025</v>
      </c>
      <c r="F58" s="25" t="n">
        <f aca="false">INDEX(C58:E58,$D$3)</f>
        <v>0.0025</v>
      </c>
      <c r="G58" s="11"/>
    </row>
    <row r="59" customFormat="false" ht="15" hidden="false" customHeight="false" outlineLevel="0" collapsed="false">
      <c r="A59" s="7" t="s">
        <v>98</v>
      </c>
      <c r="B59" s="7" t="s">
        <v>81</v>
      </c>
      <c r="C59" s="28" t="n">
        <v>1100000</v>
      </c>
      <c r="D59" s="28" t="n">
        <v>1100000</v>
      </c>
      <c r="E59" s="28" t="n">
        <v>1100000</v>
      </c>
      <c r="F59" s="29" t="n">
        <f aca="false">INDEX(C59:E59,$D$3)</f>
        <v>1100000</v>
      </c>
      <c r="G59" s="11" t="s">
        <v>99</v>
      </c>
    </row>
    <row r="60" customFormat="false" ht="15" hidden="false" customHeight="false" outlineLevel="0" collapsed="false">
      <c r="A60" s="7" t="s">
        <v>98</v>
      </c>
      <c r="B60" s="7" t="s">
        <v>83</v>
      </c>
      <c r="C60" s="28" t="n">
        <v>1000000</v>
      </c>
      <c r="D60" s="28" t="n">
        <v>1000000</v>
      </c>
      <c r="E60" s="28" t="n">
        <v>1000000</v>
      </c>
      <c r="F60" s="29" t="n">
        <f aca="false">INDEX(C60:E60,$D$3)</f>
        <v>1000000</v>
      </c>
      <c r="G60" s="11"/>
    </row>
    <row r="61" customFormat="false" ht="15" hidden="false" customHeight="false" outlineLevel="0" collapsed="false">
      <c r="A61" s="7" t="s">
        <v>98</v>
      </c>
      <c r="B61" s="7" t="s">
        <v>84</v>
      </c>
      <c r="C61" s="28" t="n">
        <v>1000000</v>
      </c>
      <c r="D61" s="28" t="n">
        <v>1000000</v>
      </c>
      <c r="E61" s="28" t="n">
        <v>1000000</v>
      </c>
      <c r="F61" s="29" t="n">
        <f aca="false">INDEX(C61:E61,$D$3)</f>
        <v>1000000</v>
      </c>
      <c r="G61" s="11"/>
    </row>
    <row r="62" customFormat="false" ht="15" hidden="false" customHeight="false" outlineLevel="0" collapsed="false">
      <c r="A62" s="7" t="s">
        <v>100</v>
      </c>
      <c r="B62" s="7" t="s">
        <v>81</v>
      </c>
      <c r="C62" s="28" t="n">
        <v>250000</v>
      </c>
      <c r="D62" s="28" t="n">
        <v>250000</v>
      </c>
      <c r="E62" s="28" t="n">
        <v>250000</v>
      </c>
      <c r="F62" s="29" t="n">
        <f aca="false">INDEX(C62:E62,$D$3)</f>
        <v>250000</v>
      </c>
      <c r="G62" s="11" t="s">
        <v>45</v>
      </c>
    </row>
    <row r="63" customFormat="false" ht="15" hidden="false" customHeight="false" outlineLevel="0" collapsed="false">
      <c r="A63" s="7" t="s">
        <v>100</v>
      </c>
      <c r="B63" s="7" t="s">
        <v>83</v>
      </c>
      <c r="C63" s="28" t="n">
        <v>300000</v>
      </c>
      <c r="D63" s="28" t="n">
        <v>300000</v>
      </c>
      <c r="E63" s="28" t="n">
        <v>300000</v>
      </c>
      <c r="F63" s="29" t="n">
        <f aca="false">INDEX(C63:E63,$D$3)</f>
        <v>300000</v>
      </c>
      <c r="G63" s="11"/>
    </row>
    <row r="64" customFormat="false" ht="15" hidden="false" customHeight="false" outlineLevel="0" collapsed="false">
      <c r="A64" s="7" t="s">
        <v>100</v>
      </c>
      <c r="B64" s="7" t="s">
        <v>84</v>
      </c>
      <c r="C64" s="28" t="n">
        <v>250000</v>
      </c>
      <c r="D64" s="28" t="n">
        <v>250000</v>
      </c>
      <c r="E64" s="28" t="n">
        <v>250000</v>
      </c>
      <c r="F64" s="29" t="n">
        <f aca="false">INDEX(C64:E64,$D$3)</f>
        <v>250000</v>
      </c>
      <c r="G64" s="11"/>
    </row>
  </sheetData>
  <dataValidations count="1">
    <dataValidation allowBlank="false" errorStyle="stop" operator="between" showDropDown="false" showErrorMessage="false" showInputMessage="false" sqref="C3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101</v>
      </c>
      <c r="B1" s="4"/>
      <c r="C1" s="4"/>
    </row>
    <row r="2" customFormat="false" ht="15" hidden="false" customHeight="false" outlineLevel="0" collapsed="false">
      <c r="A2" s="4" t="s">
        <v>102</v>
      </c>
      <c r="B2" s="4"/>
      <c r="C2" s="4"/>
    </row>
    <row r="3" customFormat="false" ht="15" hidden="false" customHeight="false" outlineLevel="0" collapsed="false">
      <c r="A3" s="4"/>
      <c r="B3" s="4"/>
      <c r="C3" s="4"/>
    </row>
    <row r="4" customFormat="false" ht="15" hidden="false" customHeight="false" outlineLevel="0" collapsed="false">
      <c r="A4" s="8" t="s">
        <v>103</v>
      </c>
      <c r="B4" s="8" t="s">
        <v>104</v>
      </c>
      <c r="C4" s="8" t="s">
        <v>50</v>
      </c>
    </row>
    <row r="5" customFormat="false" ht="15" hidden="false" customHeight="false" outlineLevel="0" collapsed="false">
      <c r="A5" s="7" t="s">
        <v>105</v>
      </c>
      <c r="B5" s="11" t="s">
        <v>106</v>
      </c>
      <c r="C5" s="30" t="n">
        <f aca="false">420*6*Supuestos!$C$14</f>
        <v>17136000</v>
      </c>
    </row>
    <row r="6" customFormat="false" ht="15" hidden="false" customHeight="false" outlineLevel="0" collapsed="false">
      <c r="A6" s="7" t="s">
        <v>107</v>
      </c>
      <c r="B6" s="11" t="s">
        <v>108</v>
      </c>
      <c r="C6" s="30" t="n">
        <f aca="false">360*Supuestos!$C$16</f>
        <v>3420000</v>
      </c>
    </row>
    <row r="7" customFormat="false" ht="15" hidden="false" customHeight="false" outlineLevel="0" collapsed="false">
      <c r="A7" s="7" t="s">
        <v>109</v>
      </c>
      <c r="B7" s="11" t="s">
        <v>110</v>
      </c>
      <c r="C7" s="30" t="n">
        <f aca="false">60*Supuestos!$C$17</f>
        <v>120000</v>
      </c>
    </row>
    <row r="8" customFormat="false" ht="15" hidden="false" customHeight="false" outlineLevel="0" collapsed="false">
      <c r="A8" s="5" t="s">
        <v>111</v>
      </c>
      <c r="B8" s="11" t="s">
        <v>112</v>
      </c>
      <c r="C8" s="31" t="n">
        <f aca="false">C5+C6+C7</f>
        <v>20676000</v>
      </c>
    </row>
    <row r="9" customFormat="false" ht="15" hidden="false" customHeight="false" outlineLevel="0" collapsed="false">
      <c r="A9" s="7" t="s">
        <v>113</v>
      </c>
      <c r="B9" s="11" t="s">
        <v>114</v>
      </c>
      <c r="C9" s="30" t="n">
        <f aca="false">C5*Supuestos!$C$15</f>
        <v>1713600</v>
      </c>
    </row>
    <row r="10" customFormat="false" ht="15" hidden="false" customHeight="false" outlineLevel="0" collapsed="false">
      <c r="A10" s="5" t="s">
        <v>115</v>
      </c>
      <c r="B10" s="11" t="s">
        <v>116</v>
      </c>
      <c r="C10" s="31" t="n">
        <f aca="false">C8+C9</f>
        <v>22389600</v>
      </c>
    </row>
    <row r="11" customFormat="false" ht="15" hidden="false" customHeight="false" outlineLevel="0" collapsed="false">
      <c r="A11" s="7" t="s">
        <v>117</v>
      </c>
      <c r="B11" s="11" t="s">
        <v>118</v>
      </c>
      <c r="C11" s="30" t="n">
        <f aca="false">3*6*Supuestos!$C$14*(1+Supuestos!$C$15)+3*Supuestos!$C$16</f>
        <v>163140</v>
      </c>
    </row>
    <row r="12" customFormat="false" ht="15" hidden="false" customHeight="false" outlineLevel="0" collapsed="false">
      <c r="A12" s="5" t="s">
        <v>119</v>
      </c>
      <c r="B12" s="11" t="s">
        <v>120</v>
      </c>
      <c r="C12" s="31" t="n">
        <f aca="false">C10-C11</f>
        <v>22226460</v>
      </c>
    </row>
    <row r="13" customFormat="false" ht="15" hidden="false" customHeight="false" outlineLevel="0" collapsed="false">
      <c r="A13" s="7" t="s">
        <v>121</v>
      </c>
      <c r="B13" s="11" t="s">
        <v>122</v>
      </c>
      <c r="C13" s="28" t="n">
        <v>4200000</v>
      </c>
    </row>
    <row r="14" customFormat="false" ht="15" hidden="false" customHeight="false" outlineLevel="0" collapsed="false">
      <c r="A14" s="7" t="s">
        <v>123</v>
      </c>
      <c r="B14" s="11" t="s">
        <v>124</v>
      </c>
      <c r="C14" s="32" t="n">
        <f aca="false">C12/C13</f>
        <v>5.29201428571429</v>
      </c>
    </row>
    <row r="15" customFormat="false" ht="15" hidden="false" customHeight="false" outlineLevel="0" collapsed="false">
      <c r="A15" s="4"/>
      <c r="B15" s="4"/>
      <c r="C15" s="4"/>
    </row>
    <row r="16" customFormat="false" ht="15" hidden="false" customHeight="false" outlineLevel="0" collapsed="false">
      <c r="A16" s="5" t="s">
        <v>125</v>
      </c>
      <c r="B16" s="4"/>
      <c r="C16" s="4"/>
    </row>
    <row r="17" customFormat="false" ht="15" hidden="false" customHeight="false" outlineLevel="0" collapsed="false">
      <c r="A17" s="8" t="s">
        <v>126</v>
      </c>
      <c r="B17" s="8" t="s">
        <v>127</v>
      </c>
      <c r="C17" s="8" t="s">
        <v>128</v>
      </c>
    </row>
    <row r="18" customFormat="false" ht="15" hidden="false" customHeight="false" outlineLevel="0" collapsed="false">
      <c r="A18" s="4" t="s">
        <v>129</v>
      </c>
      <c r="B18" s="11" t="s">
        <v>130</v>
      </c>
      <c r="C18" s="33" t="n">
        <f aca="false">Modelo!C38</f>
        <v>-5642455.36631208</v>
      </c>
    </row>
    <row r="19" customFormat="false" ht="15" hidden="false" customHeight="false" outlineLevel="0" collapsed="false">
      <c r="A19" s="4" t="s">
        <v>131</v>
      </c>
      <c r="B19" s="11" t="s">
        <v>132</v>
      </c>
      <c r="C19" s="33" t="n">
        <f aca="false">Modelo!C39</f>
        <v>-3674462.46556685</v>
      </c>
    </row>
    <row r="20" customFormat="false" ht="15" hidden="false" customHeight="false" outlineLevel="0" collapsed="false">
      <c r="A20" s="4" t="s">
        <v>133</v>
      </c>
      <c r="B20" s="11" t="s">
        <v>134</v>
      </c>
      <c r="C20" s="33" t="n">
        <f aca="false">Modelo!G34</f>
        <v>-3318433.16256875</v>
      </c>
    </row>
    <row r="21" customFormat="false" ht="15" hidden="false" customHeight="false" outlineLevel="0" collapsed="false">
      <c r="A21" s="4" t="s">
        <v>135</v>
      </c>
      <c r="B21" s="11" t="s">
        <v>136</v>
      </c>
      <c r="C21" s="34" t="str">
        <f aca="false">Modelo!C40</f>
        <v>Después del año 5</v>
      </c>
    </row>
    <row r="22" customFormat="false" ht="15" hidden="false" customHeight="false" outlineLevel="0" collapsed="false">
      <c r="A22" s="4" t="s">
        <v>137</v>
      </c>
      <c r="B22" s="11" t="s">
        <v>138</v>
      </c>
      <c r="C22" s="35" t="n">
        <f aca="false">Modelo!C47</f>
        <v>2.11886488398261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7" min="6" style="0" width="18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139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34" t="str">
        <f aca="false">"Escenario: "&amp;Supuestos!C3</f>
        <v>Escenario: C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8" t="s">
        <v>103</v>
      </c>
      <c r="B4" s="8" t="s">
        <v>19</v>
      </c>
      <c r="C4" s="8" t="s">
        <v>81</v>
      </c>
      <c r="D4" s="8" t="s">
        <v>83</v>
      </c>
      <c r="E4" s="8" t="s">
        <v>84</v>
      </c>
      <c r="F4" s="8" t="s">
        <v>140</v>
      </c>
      <c r="G4" s="8" t="s">
        <v>141</v>
      </c>
      <c r="H4" s="8" t="s">
        <v>142</v>
      </c>
    </row>
    <row r="5" customFormat="false" ht="15" hidden="false" customHeight="false" outlineLevel="0" collapsed="false">
      <c r="A5" s="7" t="s">
        <v>143</v>
      </c>
      <c r="B5" s="7" t="s">
        <v>76</v>
      </c>
      <c r="C5" s="36" t="n">
        <f aca="false">Supuestos!$F$31</f>
        <v>3</v>
      </c>
      <c r="D5" s="10" t="n">
        <f aca="false">C6</f>
        <v>120</v>
      </c>
      <c r="E5" s="10" t="n">
        <f aca="false">D6</f>
        <v>200</v>
      </c>
      <c r="F5" s="10" t="n">
        <f aca="false">E6</f>
        <v>250</v>
      </c>
      <c r="G5" s="10" t="n">
        <f aca="false">F6</f>
        <v>250</v>
      </c>
      <c r="H5" s="11"/>
    </row>
    <row r="6" customFormat="false" ht="15" hidden="false" customHeight="false" outlineLevel="0" collapsed="false">
      <c r="A6" s="7" t="s">
        <v>80</v>
      </c>
      <c r="B6" s="7" t="s">
        <v>76</v>
      </c>
      <c r="C6" s="36" t="n">
        <f aca="false">Supuestos!$F$35</f>
        <v>120</v>
      </c>
      <c r="D6" s="36" t="n">
        <f aca="false">Supuestos!$F$36</f>
        <v>200</v>
      </c>
      <c r="E6" s="36" t="n">
        <f aca="false">Supuestos!$F$37</f>
        <v>250</v>
      </c>
      <c r="F6" s="10" t="n">
        <f aca="false">E6</f>
        <v>250</v>
      </c>
      <c r="G6" s="10" t="n">
        <f aca="false">F6</f>
        <v>250</v>
      </c>
      <c r="H6" s="11" t="s">
        <v>144</v>
      </c>
    </row>
    <row r="7" customFormat="false" ht="15" hidden="false" customHeight="false" outlineLevel="0" collapsed="false">
      <c r="A7" s="7" t="s">
        <v>145</v>
      </c>
      <c r="B7" s="7" t="s">
        <v>76</v>
      </c>
      <c r="C7" s="10" t="n">
        <f aca="false">C6-C5</f>
        <v>117</v>
      </c>
      <c r="D7" s="10" t="n">
        <f aca="false">D6-D5</f>
        <v>80</v>
      </c>
      <c r="E7" s="10" t="n">
        <f aca="false">E6-E5</f>
        <v>50</v>
      </c>
      <c r="F7" s="10" t="n">
        <f aca="false">F6-F5</f>
        <v>0</v>
      </c>
      <c r="G7" s="10" t="n">
        <f aca="false">G6-G5</f>
        <v>0</v>
      </c>
      <c r="H7" s="11"/>
    </row>
    <row r="8" customFormat="false" ht="15" hidden="false" customHeight="false" outlineLevel="0" collapsed="false">
      <c r="A8" s="7" t="s">
        <v>146</v>
      </c>
      <c r="B8" s="7" t="s">
        <v>76</v>
      </c>
      <c r="C8" s="10" t="n">
        <f aca="false">MIN(C7,Supuestos!$F$38)</f>
        <v>60</v>
      </c>
      <c r="D8" s="10" t="n">
        <f aca="false">MIN(D7,Supuestos!$F$39)</f>
        <v>0</v>
      </c>
      <c r="E8" s="10" t="n">
        <f aca="false">MIN(E7,Supuestos!$F$40)</f>
        <v>0</v>
      </c>
      <c r="F8" s="10" t="n">
        <f aca="false">0</f>
        <v>0</v>
      </c>
      <c r="G8" s="10" t="n">
        <f aca="false">0</f>
        <v>0</v>
      </c>
      <c r="H8" s="11"/>
    </row>
    <row r="9" customFormat="false" ht="15" hidden="false" customHeight="false" outlineLevel="0" collapsed="false">
      <c r="A9" s="7" t="s">
        <v>147</v>
      </c>
      <c r="B9" s="7" t="s">
        <v>76</v>
      </c>
      <c r="C9" s="10" t="n">
        <f aca="false">(C5+C6)/2</f>
        <v>61.5</v>
      </c>
      <c r="D9" s="10" t="n">
        <f aca="false">(D5+D6)/2</f>
        <v>160</v>
      </c>
      <c r="E9" s="10" t="n">
        <f aca="false">(E5+E6)/2</f>
        <v>225</v>
      </c>
      <c r="F9" s="10" t="n">
        <f aca="false">(F5+F6)/2</f>
        <v>250</v>
      </c>
      <c r="G9" s="10" t="n">
        <f aca="false">(G5+G6)/2</f>
        <v>250</v>
      </c>
      <c r="H9" s="11" t="s">
        <v>148</v>
      </c>
    </row>
    <row r="10" customFormat="false" ht="15" hidden="false" customHeight="false" outlineLevel="0" collapsed="false">
      <c r="A10" s="7" t="s">
        <v>149</v>
      </c>
      <c r="B10" s="7" t="s">
        <v>150</v>
      </c>
      <c r="C10" s="10" t="n">
        <f aca="false">C9*Supuestos!$F$10*Supuestos!$F$11*Supuestos!$F$12</f>
        <v>9899347.5</v>
      </c>
      <c r="D10" s="10" t="n">
        <f aca="false">D9*Supuestos!$F$10*Supuestos!$F$11*Supuestos!$F$12</f>
        <v>25754400</v>
      </c>
      <c r="E10" s="10" t="n">
        <f aca="false">E9*Supuestos!$F$10*Supuestos!$F$11*Supuestos!$F$12</f>
        <v>36217125</v>
      </c>
      <c r="F10" s="10" t="n">
        <f aca="false">F9*Supuestos!$F$10*Supuestos!$F$11*Supuestos!$F$12</f>
        <v>40241250</v>
      </c>
      <c r="G10" s="10" t="n">
        <f aca="false">G9*Supuestos!$F$10*Supuestos!$F$11*Supuestos!$F$12</f>
        <v>40241250</v>
      </c>
      <c r="H10" s="11"/>
    </row>
    <row r="11" customFormat="false" ht="15" hidden="false" customHeight="false" outlineLevel="0" collapsed="false">
      <c r="A11" s="7" t="s">
        <v>151</v>
      </c>
      <c r="B11" s="7" t="s">
        <v>152</v>
      </c>
      <c r="C11" s="10" t="n">
        <f aca="false">C10*Supuestos!$F$41*Supuestos!$F$44</f>
        <v>1385908.65</v>
      </c>
      <c r="D11" s="10" t="n">
        <f aca="false">D10*Supuestos!$F$42*Supuestos!$F$45</f>
        <v>5872003.2</v>
      </c>
      <c r="E11" s="10" t="n">
        <f aca="false">E10*Supuestos!$F$43*Supuestos!$F$46</f>
        <v>11589480</v>
      </c>
      <c r="F11" s="10" t="n">
        <f aca="false">F10*Supuestos!$F$43*Supuestos!$F$46</f>
        <v>12877200</v>
      </c>
      <c r="G11" s="10" t="n">
        <f aca="false">G10*Supuestos!$F$43*Supuestos!$F$46</f>
        <v>12877200</v>
      </c>
      <c r="H11" s="11" t="s">
        <v>153</v>
      </c>
    </row>
    <row r="12" customFormat="false" ht="15" hidden="false" customHeight="false" outlineLevel="0" collapsed="false">
      <c r="A12" s="7" t="s">
        <v>28</v>
      </c>
      <c r="B12" s="7" t="s">
        <v>50</v>
      </c>
      <c r="C12" s="37" t="n">
        <f aca="false">Supuestos!$F$7/Supuestos!$F$6</f>
        <v>29.5</v>
      </c>
      <c r="D12" s="37" t="n">
        <f aca="false">Supuestos!$F$7/Supuestos!$F$6</f>
        <v>29.5</v>
      </c>
      <c r="E12" s="37" t="n">
        <f aca="false">Supuestos!$F$7/Supuestos!$F$6</f>
        <v>29.5</v>
      </c>
      <c r="F12" s="37" t="n">
        <f aca="false">Supuestos!$F$7/Supuestos!$F$6</f>
        <v>29.5</v>
      </c>
      <c r="G12" s="37" t="n">
        <f aca="false">Supuestos!$F$7/Supuestos!$F$6</f>
        <v>29.5</v>
      </c>
      <c r="H12" s="11"/>
    </row>
    <row r="13" customFormat="false" ht="15" hidden="false" customHeight="false" outlineLevel="0" collapsed="false">
      <c r="A13" s="7" t="s">
        <v>154</v>
      </c>
      <c r="B13" s="7" t="s">
        <v>50</v>
      </c>
      <c r="C13" s="37" t="n">
        <f aca="false">Supuestos!$F$7/Supuestos!$F$8*Supuestos!$F$9</f>
        <v>1.54875</v>
      </c>
      <c r="D13" s="37" t="n">
        <f aca="false">Supuestos!$F$7/Supuestos!$F$8*Supuestos!$F$9</f>
        <v>1.54875</v>
      </c>
      <c r="E13" s="37" t="n">
        <f aca="false">Supuestos!$F$7/Supuestos!$F$8*Supuestos!$F$9</f>
        <v>1.54875</v>
      </c>
      <c r="F13" s="37" t="n">
        <f aca="false">Supuestos!$F$7/Supuestos!$F$8*Supuestos!$F$9</f>
        <v>1.54875</v>
      </c>
      <c r="G13" s="37" t="n">
        <f aca="false">Supuestos!$F$7/Supuestos!$F$8*Supuestos!$F$9</f>
        <v>1.54875</v>
      </c>
      <c r="H13" s="11" t="s">
        <v>155</v>
      </c>
    </row>
    <row r="14" customFormat="false" ht="15" hidden="false" customHeight="false" outlineLevel="0" collapsed="false">
      <c r="A14" s="38" t="s">
        <v>156</v>
      </c>
      <c r="B14" s="39"/>
      <c r="C14" s="40"/>
      <c r="D14" s="40"/>
      <c r="E14" s="40"/>
      <c r="F14" s="40"/>
      <c r="G14" s="40"/>
      <c r="H14" s="40"/>
    </row>
    <row r="15" customFormat="false" ht="15" hidden="false" customHeight="false" outlineLevel="0" collapsed="false">
      <c r="A15" s="7" t="s">
        <v>157</v>
      </c>
      <c r="B15" s="7" t="s">
        <v>50</v>
      </c>
      <c r="C15" s="30" t="n">
        <f aca="false">C10*Supuestos!$F$47*C13</f>
        <v>153316.14440625</v>
      </c>
      <c r="D15" s="30" t="n">
        <f aca="false">D10*Supuestos!$F$48*D13</f>
        <v>797742.54</v>
      </c>
      <c r="E15" s="30" t="n">
        <f aca="false">E10*Supuestos!$F$49*E13</f>
        <v>1682738.1703125</v>
      </c>
      <c r="F15" s="30" t="n">
        <f aca="false">F10*Supuestos!$F$49*F13</f>
        <v>1869709.078125</v>
      </c>
      <c r="G15" s="30" t="n">
        <f aca="false">G10*Supuestos!$F$49*G13</f>
        <v>1869709.078125</v>
      </c>
      <c r="H15" s="11" t="s">
        <v>158</v>
      </c>
    </row>
    <row r="16" customFormat="false" ht="15" hidden="false" customHeight="false" outlineLevel="0" collapsed="false">
      <c r="A16" s="7" t="s">
        <v>159</v>
      </c>
      <c r="B16" s="7" t="s">
        <v>50</v>
      </c>
      <c r="C16" s="30" t="n">
        <f aca="false">C11*C12*(((1-Supuestos!$F$22)*Supuestos!$F$19+Supuestos!$F$22*Supuestos!$F$21)-((1-Supuestos!$F$50)*Supuestos!$F$19+Supuestos!$F$50*Supuestos!$F$20))</f>
        <v>-20442.1525875</v>
      </c>
      <c r="D16" s="30" t="n">
        <f aca="false">D11*D12*(((1-Supuestos!$F$22)*Supuestos!$F$19+Supuestos!$F$22*Supuestos!$F$21)-((1-Supuestos!$F$51)*Supuestos!$F$19+Supuestos!$F$51*Supuestos!$F$20))</f>
        <v>251174.93688</v>
      </c>
      <c r="E16" s="30" t="n">
        <f aca="false">E11*E12*(((1-Supuestos!$F$22)*Supuestos!$F$19+Supuestos!$F$22*Supuestos!$F$21)-((1-Supuestos!$F$52)*Supuestos!$F$19+Supuestos!$F$52*Supuestos!$F$20))</f>
        <v>940196.565</v>
      </c>
      <c r="F16" s="30" t="n">
        <f aca="false">F11*F12*(((1-Supuestos!$F$22)*Supuestos!$F$19+Supuestos!$F$22*Supuestos!$F$21)-((1-Supuestos!$F$52)*Supuestos!$F$19+Supuestos!$F$52*Supuestos!$F$20))</f>
        <v>1044662.85</v>
      </c>
      <c r="G16" s="30" t="n">
        <f aca="false">G11*G12*(((1-Supuestos!$F$22)*Supuestos!$F$19+Supuestos!$F$22*Supuestos!$F$21)-((1-Supuestos!$F$52)*Supuestos!$F$19+Supuestos!$F$52*Supuestos!$F$20))</f>
        <v>1044662.85</v>
      </c>
      <c r="H16" s="11" t="s">
        <v>160</v>
      </c>
    </row>
    <row r="17" customFormat="false" ht="15" hidden="false" customHeight="false" outlineLevel="0" collapsed="false">
      <c r="A17" s="7" t="s">
        <v>161</v>
      </c>
      <c r="B17" s="7" t="s">
        <v>50</v>
      </c>
      <c r="C17" s="30" t="n">
        <f aca="false">C11*Supuestos!$F$23/60*Supuestos!$F$24*Supuestos!$F$53</f>
        <v>0</v>
      </c>
      <c r="D17" s="30" t="n">
        <f aca="false">D11*Supuestos!$F$23/60*Supuestos!$F$24*Supuestos!$F$54</f>
        <v>369936.2016</v>
      </c>
      <c r="E17" s="30" t="n">
        <f aca="false">E11*Supuestos!$F$23/60*Supuestos!$F$24*Supuestos!$F$55</f>
        <v>1460274.48</v>
      </c>
      <c r="F17" s="30" t="n">
        <f aca="false">F11*Supuestos!$F$23/60*Supuestos!$F$24*Supuestos!$F$55</f>
        <v>1622527.2</v>
      </c>
      <c r="G17" s="30" t="n">
        <f aca="false">G11*Supuestos!$F$23/60*Supuestos!$F$24*Supuestos!$F$55</f>
        <v>1622527.2</v>
      </c>
      <c r="H17" s="11" t="s">
        <v>162</v>
      </c>
    </row>
    <row r="18" customFormat="false" ht="15" hidden="false" customHeight="false" outlineLevel="0" collapsed="false">
      <c r="A18" s="5" t="s">
        <v>163</v>
      </c>
      <c r="B18" s="7" t="s">
        <v>50</v>
      </c>
      <c r="C18" s="31" t="n">
        <f aca="false">C15+C16+C17</f>
        <v>132873.99181875</v>
      </c>
      <c r="D18" s="31" t="n">
        <f aca="false">D15+D16+D17</f>
        <v>1418853.67848</v>
      </c>
      <c r="E18" s="31" t="n">
        <f aca="false">E15+E16+E17</f>
        <v>4083209.2153125</v>
      </c>
      <c r="F18" s="31" t="n">
        <f aca="false">F15+F16+F17</f>
        <v>4536899.128125</v>
      </c>
      <c r="G18" s="31" t="n">
        <f aca="false">G15+G16+G17</f>
        <v>4536899.128125</v>
      </c>
      <c r="H18" s="11"/>
    </row>
    <row r="19" customFormat="false" ht="15" hidden="false" customHeight="false" outlineLevel="0" collapsed="false">
      <c r="A19" s="38" t="s">
        <v>164</v>
      </c>
      <c r="B19" s="39"/>
      <c r="C19" s="40"/>
      <c r="D19" s="40"/>
      <c r="E19" s="40"/>
      <c r="F19" s="40"/>
      <c r="G19" s="40"/>
      <c r="H19" s="40"/>
    </row>
    <row r="20" customFormat="false" ht="15" hidden="false" customHeight="false" outlineLevel="0" collapsed="false">
      <c r="A20" s="7" t="s">
        <v>165</v>
      </c>
      <c r="B20" s="7" t="s">
        <v>50</v>
      </c>
      <c r="C20" s="30" t="n">
        <f aca="false">C9*Supuestos!$F$13*Supuestos!$F$18*12</f>
        <v>125460</v>
      </c>
      <c r="D20" s="30" t="n">
        <f aca="false">D9*Supuestos!$F$13*Supuestos!$F$18*12</f>
        <v>326400</v>
      </c>
      <c r="E20" s="30" t="n">
        <f aca="false">E9*Supuestos!$F$13*Supuestos!$F$18*12</f>
        <v>459000</v>
      </c>
      <c r="F20" s="30" t="n">
        <f aca="false">F9*Supuestos!$F$13*Supuestos!$F$18*12</f>
        <v>510000</v>
      </c>
      <c r="G20" s="30" t="n">
        <f aca="false">G9*Supuestos!$F$13*Supuestos!$F$18*12</f>
        <v>510000</v>
      </c>
      <c r="H20" s="11"/>
    </row>
    <row r="21" customFormat="false" ht="15" hidden="false" customHeight="false" outlineLevel="0" collapsed="false">
      <c r="A21" s="7" t="s">
        <v>166</v>
      </c>
      <c r="B21" s="7" t="s">
        <v>50</v>
      </c>
      <c r="C21" s="30" t="n">
        <f aca="false">C11*Supuestos!$F$25</f>
        <v>27718.173</v>
      </c>
      <c r="D21" s="30" t="n">
        <f aca="false">D11*Supuestos!$F$25</f>
        <v>117440.064</v>
      </c>
      <c r="E21" s="30" t="n">
        <f aca="false">E11*Supuestos!$F$25</f>
        <v>231789.6</v>
      </c>
      <c r="F21" s="30" t="n">
        <f aca="false">F11*Supuestos!$F$25</f>
        <v>257544</v>
      </c>
      <c r="G21" s="30" t="n">
        <f aca="false">G11*Supuestos!$F$25</f>
        <v>257544</v>
      </c>
      <c r="H21" s="11"/>
    </row>
    <row r="22" customFormat="false" ht="15" hidden="false" customHeight="false" outlineLevel="0" collapsed="false">
      <c r="A22" s="7" t="s">
        <v>167</v>
      </c>
      <c r="B22" s="7" t="s">
        <v>50</v>
      </c>
      <c r="C22" s="30" t="n">
        <f aca="false">C11*Supuestos!$F$56*(Supuestos!$F$26*C12+Supuestos!$F$27)</f>
        <v>167140.58319</v>
      </c>
      <c r="D22" s="30" t="n">
        <f aca="false">D11*Supuestos!$F$57*(Supuestos!$F$26*D12+Supuestos!$F$27)</f>
        <v>472109.05728</v>
      </c>
      <c r="E22" s="30" t="n">
        <f aca="false">E11*Supuestos!$F$58*(Supuestos!$F$26*E12+Supuestos!$F$27)</f>
        <v>776495.16</v>
      </c>
      <c r="F22" s="30" t="n">
        <f aca="false">F11*Supuestos!$F$58*(Supuestos!$F$26*F12+Supuestos!$F$27)</f>
        <v>862772.4</v>
      </c>
      <c r="G22" s="30" t="n">
        <f aca="false">G11*Supuestos!$F$58*(Supuestos!$F$26*G12+Supuestos!$F$27)</f>
        <v>862772.4</v>
      </c>
      <c r="H22" s="11"/>
    </row>
    <row r="23" customFormat="false" ht="15" hidden="false" customHeight="false" outlineLevel="0" collapsed="false">
      <c r="A23" s="7" t="s">
        <v>168</v>
      </c>
      <c r="B23" s="7" t="s">
        <v>50</v>
      </c>
      <c r="C23" s="30" t="n">
        <f aca="false">C11*Supuestos!$F$28*Supuestos!$F$29</f>
        <v>2217.45384</v>
      </c>
      <c r="D23" s="30" t="n">
        <f aca="false">D11*Supuestos!$F$28*Supuestos!$F$29</f>
        <v>9395.20512</v>
      </c>
      <c r="E23" s="30" t="n">
        <f aca="false">E11*Supuestos!$F$28*Supuestos!$F$29</f>
        <v>18543.168</v>
      </c>
      <c r="F23" s="30" t="n">
        <f aca="false">F11*Supuestos!$F$28*Supuestos!$F$29</f>
        <v>20603.52</v>
      </c>
      <c r="G23" s="30" t="n">
        <f aca="false">G11*Supuestos!$F$28*Supuestos!$F$29</f>
        <v>20603.52</v>
      </c>
      <c r="H23" s="11"/>
    </row>
    <row r="24" customFormat="false" ht="15" hidden="false" customHeight="false" outlineLevel="0" collapsed="false">
      <c r="A24" s="7" t="s">
        <v>169</v>
      </c>
      <c r="B24" s="7" t="s">
        <v>50</v>
      </c>
      <c r="C24" s="33" t="n">
        <f aca="false">Supuestos!$F$59</f>
        <v>1100000</v>
      </c>
      <c r="D24" s="33" t="n">
        <f aca="false">Supuestos!$F$60</f>
        <v>1000000</v>
      </c>
      <c r="E24" s="33" t="n">
        <f aca="false">Supuestos!$F$61</f>
        <v>1000000</v>
      </c>
      <c r="F24" s="33" t="n">
        <f aca="false">Supuestos!$F$61</f>
        <v>1000000</v>
      </c>
      <c r="G24" s="33" t="n">
        <f aca="false">Supuestos!$F$61</f>
        <v>1000000</v>
      </c>
      <c r="H24" s="11"/>
    </row>
    <row r="25" customFormat="false" ht="15" hidden="false" customHeight="false" outlineLevel="0" collapsed="false">
      <c r="A25" s="7" t="s">
        <v>170</v>
      </c>
      <c r="B25" s="7" t="s">
        <v>50</v>
      </c>
      <c r="C25" s="33" t="n">
        <f aca="false">Supuestos!$F$62</f>
        <v>250000</v>
      </c>
      <c r="D25" s="33" t="n">
        <f aca="false">Supuestos!$F$63</f>
        <v>300000</v>
      </c>
      <c r="E25" s="33" t="n">
        <f aca="false">Supuestos!$F$64</f>
        <v>250000</v>
      </c>
      <c r="F25" s="33" t="n">
        <f aca="false">Supuestos!$F$64</f>
        <v>250000</v>
      </c>
      <c r="G25" s="33" t="n">
        <f aca="false">Supuestos!$F$64</f>
        <v>250000</v>
      </c>
      <c r="H25" s="11"/>
    </row>
    <row r="26" customFormat="false" ht="15" hidden="false" customHeight="false" outlineLevel="0" collapsed="false">
      <c r="A26" s="5" t="s">
        <v>171</v>
      </c>
      <c r="B26" s="7" t="s">
        <v>50</v>
      </c>
      <c r="C26" s="31" t="n">
        <f aca="false">SUM(C20:C25)</f>
        <v>1672536.21003</v>
      </c>
      <c r="D26" s="31" t="n">
        <f aca="false">SUM(D20:D25)</f>
        <v>2225344.3264</v>
      </c>
      <c r="E26" s="31" t="n">
        <f aca="false">SUM(E20:E25)</f>
        <v>2735827.928</v>
      </c>
      <c r="F26" s="31" t="n">
        <f aca="false">SUM(F20:F25)</f>
        <v>2900919.92</v>
      </c>
      <c r="G26" s="31" t="n">
        <f aca="false">SUM(G20:G25)</f>
        <v>2900919.92</v>
      </c>
      <c r="H26" s="11"/>
    </row>
    <row r="27" customFormat="false" ht="15" hidden="false" customHeight="false" outlineLevel="0" collapsed="false">
      <c r="A27" s="5" t="s">
        <v>172</v>
      </c>
      <c r="B27" s="7" t="s">
        <v>50</v>
      </c>
      <c r="C27" s="31" t="n">
        <f aca="false">C18-C26</f>
        <v>-1539662.21821125</v>
      </c>
      <c r="D27" s="31" t="n">
        <f aca="false">D18-D26</f>
        <v>-806490.64792</v>
      </c>
      <c r="E27" s="31" t="n">
        <f aca="false">E18-E26</f>
        <v>1347381.2873125</v>
      </c>
      <c r="F27" s="31" t="n">
        <f aca="false">F18-F26</f>
        <v>1635979.208125</v>
      </c>
      <c r="G27" s="31" t="n">
        <f aca="false">G18-G26</f>
        <v>1635979.208125</v>
      </c>
      <c r="H27" s="11"/>
    </row>
    <row r="28" customFormat="false" ht="15" hidden="false" customHeight="false" outlineLevel="0" collapsed="false">
      <c r="A28" s="38" t="s">
        <v>173</v>
      </c>
      <c r="B28" s="39"/>
      <c r="C28" s="40"/>
      <c r="D28" s="40"/>
      <c r="E28" s="40"/>
      <c r="F28" s="40"/>
      <c r="G28" s="40"/>
      <c r="H28" s="40"/>
    </row>
    <row r="29" customFormat="false" ht="15" hidden="false" customHeight="false" outlineLevel="0" collapsed="false">
      <c r="A29" s="7" t="s">
        <v>174</v>
      </c>
      <c r="B29" s="7" t="s">
        <v>50</v>
      </c>
      <c r="C29" s="30" t="n">
        <f aca="false">C7*Supuestos!$F$13*Supuestos!$F$14*(1+Supuestos!$F$15)</f>
        <v>1750320</v>
      </c>
      <c r="D29" s="30" t="n">
        <f aca="false">D7*Supuestos!$F$13*Supuestos!$F$14*(1+Supuestos!$F$15)</f>
        <v>1196800</v>
      </c>
      <c r="E29" s="30" t="n">
        <f aca="false">E7*Supuestos!$F$13*Supuestos!$F$14*(1+Supuestos!$F$15)</f>
        <v>748000</v>
      </c>
      <c r="F29" s="30" t="n">
        <f aca="false">F7*Supuestos!$F$13*Supuestos!$F$14*(1+Supuestos!$F$15)</f>
        <v>0</v>
      </c>
      <c r="G29" s="30" t="n">
        <f aca="false">G7*Supuestos!$F$13*Supuestos!$F$14*(1+Supuestos!$F$15)</f>
        <v>0</v>
      </c>
      <c r="H29" s="11"/>
    </row>
    <row r="30" customFormat="false" ht="15" hidden="false" customHeight="false" outlineLevel="0" collapsed="false">
      <c r="A30" s="7" t="s">
        <v>175</v>
      </c>
      <c r="B30" s="7" t="s">
        <v>50</v>
      </c>
      <c r="C30" s="30" t="n">
        <f aca="false">C8*Supuestos!$F$17+(C7-C8)*Supuestos!$F$16</f>
        <v>661500</v>
      </c>
      <c r="D30" s="30" t="n">
        <f aca="false">D8*Supuestos!$F$17+(D7-D8)*Supuestos!$F$16</f>
        <v>760000</v>
      </c>
      <c r="E30" s="30" t="n">
        <f aca="false">E8*Supuestos!$F$17+(E7-E8)*Supuestos!$F$16</f>
        <v>475000</v>
      </c>
      <c r="F30" s="30" t="n">
        <f aca="false">F8*Supuestos!$F$17+(F7-F8)*Supuestos!$F$16</f>
        <v>0</v>
      </c>
      <c r="G30" s="30" t="n">
        <f aca="false">G8*Supuestos!$F$17+(G7-G8)*Supuestos!$F$16</f>
        <v>0</v>
      </c>
      <c r="H30" s="11"/>
    </row>
    <row r="31" customFormat="false" ht="15" hidden="false" customHeight="false" outlineLevel="0" collapsed="false">
      <c r="A31" s="5" t="s">
        <v>176</v>
      </c>
      <c r="B31" s="7" t="s">
        <v>50</v>
      </c>
      <c r="C31" s="31" t="n">
        <f aca="false">C29+C30</f>
        <v>2411820</v>
      </c>
      <c r="D31" s="31" t="n">
        <f aca="false">D29+D30</f>
        <v>1956800</v>
      </c>
      <c r="E31" s="31" t="n">
        <f aca="false">E29+E30</f>
        <v>1223000</v>
      </c>
      <c r="F31" s="31" t="n">
        <f aca="false">F29+F30</f>
        <v>0</v>
      </c>
      <c r="G31" s="31" t="n">
        <f aca="false">G29+G30</f>
        <v>0</v>
      </c>
      <c r="H31" s="11"/>
    </row>
    <row r="32" customFormat="false" ht="15" hidden="false" customHeight="false" outlineLevel="0" collapsed="false">
      <c r="A32" s="38" t="s">
        <v>177</v>
      </c>
      <c r="B32" s="39"/>
      <c r="C32" s="40"/>
      <c r="D32" s="40"/>
      <c r="E32" s="40"/>
      <c r="F32" s="40"/>
      <c r="G32" s="40"/>
      <c r="H32" s="40"/>
    </row>
    <row r="33" customFormat="false" ht="15" hidden="false" customHeight="false" outlineLevel="0" collapsed="false">
      <c r="A33" s="5" t="s">
        <v>178</v>
      </c>
      <c r="B33" s="7" t="s">
        <v>50</v>
      </c>
      <c r="C33" s="31" t="n">
        <f aca="false">C27-C31</f>
        <v>-3951482.21821125</v>
      </c>
      <c r="D33" s="31" t="n">
        <f aca="false">D27-D31</f>
        <v>-2763290.64792</v>
      </c>
      <c r="E33" s="31" t="n">
        <f aca="false">E27-E31</f>
        <v>124381.2873125</v>
      </c>
      <c r="F33" s="31" t="n">
        <f aca="false">F27-F31</f>
        <v>1635979.208125</v>
      </c>
      <c r="G33" s="31" t="n">
        <f aca="false">G27-G31</f>
        <v>1635979.208125</v>
      </c>
      <c r="H33" s="11"/>
    </row>
    <row r="34" customFormat="false" ht="15" hidden="false" customHeight="false" outlineLevel="0" collapsed="false">
      <c r="A34" s="7" t="s">
        <v>179</v>
      </c>
      <c r="B34" s="7" t="s">
        <v>50</v>
      </c>
      <c r="C34" s="30" t="n">
        <f aca="false">C33</f>
        <v>-3951482.21821125</v>
      </c>
      <c r="D34" s="30" t="n">
        <f aca="false">C34+D33</f>
        <v>-6714772.86613125</v>
      </c>
      <c r="E34" s="30" t="n">
        <f aca="false">D34+E33</f>
        <v>-6590391.57881875</v>
      </c>
      <c r="F34" s="30" t="n">
        <f aca="false">E34+F33</f>
        <v>-4954412.37069375</v>
      </c>
      <c r="G34" s="30" t="n">
        <f aca="false">F34+G33</f>
        <v>-3318433.16256875</v>
      </c>
      <c r="H34" s="11"/>
    </row>
    <row r="35" customFormat="false" ht="15" hidden="false" customHeight="false" outlineLevel="0" collapsed="false">
      <c r="A35" s="7" t="s">
        <v>180</v>
      </c>
      <c r="B35" s="7" t="s">
        <v>50</v>
      </c>
      <c r="C35" s="30" t="n">
        <f aca="false">-C33</f>
        <v>3951482.21821125</v>
      </c>
      <c r="D35" s="30" t="n">
        <f aca="false">-D33</f>
        <v>2763290.64792</v>
      </c>
      <c r="E35" s="30" t="n">
        <f aca="false">-E33</f>
        <v>-124381.2873125</v>
      </c>
      <c r="F35" s="30" t="n">
        <f aca="false">-F33</f>
        <v>-1635979.208125</v>
      </c>
      <c r="G35" s="30" t="n">
        <f aca="false">-G33</f>
        <v>-1635979.208125</v>
      </c>
      <c r="H35" s="11" t="s">
        <v>181</v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5" t="s">
        <v>182</v>
      </c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7" t="s">
        <v>129</v>
      </c>
      <c r="B38" s="4"/>
      <c r="C38" s="31" t="n">
        <f aca="false">NPV(Supuestos!$F$30,C33:E33)</f>
        <v>-5642455.36631208</v>
      </c>
      <c r="D38" s="4"/>
      <c r="E38" s="4"/>
      <c r="F38" s="4"/>
      <c r="G38" s="4"/>
      <c r="H38" s="4"/>
    </row>
    <row r="39" customFormat="false" ht="15" hidden="false" customHeight="false" outlineLevel="0" collapsed="false">
      <c r="A39" s="7" t="s">
        <v>183</v>
      </c>
      <c r="B39" s="4"/>
      <c r="C39" s="31" t="n">
        <f aca="false">NPV(Supuestos!$F$30,C33:G33)</f>
        <v>-3674462.46556685</v>
      </c>
      <c r="D39" s="4"/>
      <c r="E39" s="4"/>
      <c r="F39" s="4"/>
      <c r="G39" s="4"/>
      <c r="H39" s="4"/>
    </row>
    <row r="40" customFormat="false" ht="15" hidden="false" customHeight="false" outlineLevel="0" collapsed="false">
      <c r="A40" s="7" t="s">
        <v>184</v>
      </c>
      <c r="B40" s="4"/>
      <c r="C40" s="5" t="str">
        <f aca="false">IF(COUNTIF(C34:G34,"&lt;0")=5,"Después del año 5","Año "&amp;(COUNTIF(C34:G34,"&lt;0")+1))</f>
        <v>Después del año 5</v>
      </c>
      <c r="D40" s="4"/>
      <c r="E40" s="4"/>
      <c r="F40" s="4"/>
      <c r="G40" s="4"/>
      <c r="H40" s="4"/>
    </row>
    <row r="41" customFormat="false" ht="15" hidden="false" customHeight="false" outlineLevel="0" collapsed="false">
      <c r="A41" s="7" t="s">
        <v>185</v>
      </c>
      <c r="B41" s="4"/>
      <c r="C41" s="31" t="n">
        <f aca="false">SUM(C31:E31)</f>
        <v>5591620</v>
      </c>
      <c r="D41" s="4"/>
      <c r="E41" s="4"/>
      <c r="F41" s="4"/>
      <c r="G41" s="4"/>
      <c r="H41" s="4"/>
    </row>
    <row r="42" customFormat="false" ht="15" hidden="false" customHeight="false" outlineLevel="0" collapsed="false">
      <c r="A42" s="7" t="s">
        <v>186</v>
      </c>
      <c r="B42" s="4"/>
      <c r="C42" s="31" t="n">
        <f aca="false">G34</f>
        <v>-3318433.16256875</v>
      </c>
      <c r="D42" s="4"/>
      <c r="E42" s="4"/>
      <c r="F42" s="4"/>
      <c r="G42" s="4"/>
      <c r="H42" s="4"/>
    </row>
    <row r="43" customFormat="false" ht="15" hidden="false" customHeight="false" outlineLevel="0" collapsed="false">
      <c r="A43" s="7" t="s">
        <v>187</v>
      </c>
      <c r="B43" s="4"/>
      <c r="C43" s="41" t="n">
        <f aca="false">C35/4200000</f>
        <v>0.940829099574107</v>
      </c>
      <c r="D43" s="4"/>
      <c r="E43" s="4"/>
      <c r="F43" s="4"/>
      <c r="G43" s="4"/>
      <c r="H43" s="4"/>
    </row>
    <row r="44" customFormat="false" ht="15" hidden="false" customHeight="false" outlineLevel="0" collapsed="false">
      <c r="A44" s="7" t="s">
        <v>188</v>
      </c>
      <c r="B44" s="4"/>
      <c r="C44" s="31" t="n">
        <f aca="false">E27/E9</f>
        <v>5988.36127694444</v>
      </c>
      <c r="D44" s="4"/>
      <c r="E44" s="4"/>
      <c r="F44" s="4"/>
      <c r="G44" s="4"/>
      <c r="H44" s="4"/>
    </row>
    <row r="45" customFormat="false" ht="15" hidden="false" customHeight="false" outlineLevel="0" collapsed="false">
      <c r="A45" s="7" t="s">
        <v>189</v>
      </c>
      <c r="B45" s="4"/>
      <c r="C45" s="31" t="n">
        <f aca="false">Supuestos!$F$13*Supuestos!$F$14*(1+Supuestos!$F$15)+Supuestos!$F$16</f>
        <v>24460</v>
      </c>
      <c r="D45" s="4"/>
      <c r="E45" s="4"/>
      <c r="F45" s="4"/>
      <c r="G45" s="4"/>
      <c r="H45" s="4"/>
    </row>
    <row r="46" customFormat="false" ht="15" hidden="false" customHeight="false" outlineLevel="0" collapsed="false">
      <c r="A46" s="7" t="s">
        <v>190</v>
      </c>
      <c r="B46" s="4"/>
      <c r="C46" s="31" t="n">
        <f aca="false">(E18-E20-E21-E22-E23)/E9</f>
        <v>11543.9168325</v>
      </c>
      <c r="D46" s="4"/>
      <c r="E46" s="4"/>
      <c r="F46" s="4"/>
      <c r="G46" s="4"/>
      <c r="H46" s="4"/>
    </row>
    <row r="47" customFormat="false" ht="15" hidden="false" customHeight="false" outlineLevel="0" collapsed="false">
      <c r="A47" s="7" t="s">
        <v>191</v>
      </c>
      <c r="B47" s="4"/>
      <c r="C47" s="42" t="n">
        <f aca="false">IFERROR(C45/C46,"n/a")</f>
        <v>2.11886488398261</v>
      </c>
      <c r="D47" s="4"/>
      <c r="E47" s="4"/>
      <c r="F47" s="4"/>
      <c r="G47" s="4"/>
      <c r="H4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14" min="5" style="0" width="12"/>
  </cols>
  <sheetData>
    <row r="1" customFormat="false" ht="17.35" hidden="false" customHeight="false" outlineLevel="0" collapsed="false">
      <c r="A1" s="1" t="s">
        <v>192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customFormat="false" ht="15" hidden="false" customHeight="false" outlineLevel="0" collapsed="false">
      <c r="A2" s="4" t="s">
        <v>193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customFormat="false" ht="26.85" hidden="false" customHeight="false" outlineLevel="0" collapsed="false">
      <c r="A4" s="8" t="s">
        <v>194</v>
      </c>
      <c r="B4" s="8" t="s">
        <v>195</v>
      </c>
      <c r="C4" s="8" t="s">
        <v>196</v>
      </c>
      <c r="D4" s="8" t="s">
        <v>197</v>
      </c>
      <c r="E4" s="8" t="s">
        <v>198</v>
      </c>
      <c r="F4" s="8" t="s">
        <v>199</v>
      </c>
      <c r="G4" s="8" t="s">
        <v>200</v>
      </c>
      <c r="H4" s="8" t="s">
        <v>201</v>
      </c>
      <c r="I4" s="8" t="s">
        <v>202</v>
      </c>
      <c r="J4" s="8" t="s">
        <v>203</v>
      </c>
      <c r="K4" s="8" t="s">
        <v>204</v>
      </c>
      <c r="L4" s="8" t="s">
        <v>205</v>
      </c>
      <c r="M4" s="8" t="s">
        <v>206</v>
      </c>
      <c r="N4" s="8" t="s">
        <v>207</v>
      </c>
      <c r="O4" s="43" t="s">
        <v>208</v>
      </c>
      <c r="P4" s="43" t="s">
        <v>209</v>
      </c>
      <c r="Q4" s="43" t="s">
        <v>210</v>
      </c>
      <c r="R4" s="43" t="s">
        <v>211</v>
      </c>
      <c r="S4" s="43" t="s">
        <v>212</v>
      </c>
      <c r="T4" s="43" t="s">
        <v>213</v>
      </c>
      <c r="U4" s="43" t="s">
        <v>214</v>
      </c>
      <c r="V4" s="43" t="s">
        <v>215</v>
      </c>
      <c r="W4" s="43" t="s">
        <v>216</v>
      </c>
      <c r="X4" s="43" t="s">
        <v>217</v>
      </c>
      <c r="Y4" s="43" t="s">
        <v>218</v>
      </c>
      <c r="Z4" s="43" t="s">
        <v>219</v>
      </c>
      <c r="AA4" s="43" t="s">
        <v>220</v>
      </c>
      <c r="AB4" s="43" t="s">
        <v>221</v>
      </c>
      <c r="AC4" s="43" t="s">
        <v>222</v>
      </c>
      <c r="AD4" s="43" t="s">
        <v>223</v>
      </c>
      <c r="AE4" s="43" t="s">
        <v>224</v>
      </c>
      <c r="AF4" s="43" t="s">
        <v>225</v>
      </c>
      <c r="AG4" s="43" t="s">
        <v>226</v>
      </c>
      <c r="AH4" s="43" t="s">
        <v>227</v>
      </c>
      <c r="AI4" s="43" t="s">
        <v>228</v>
      </c>
      <c r="AJ4" s="43" t="s">
        <v>229</v>
      </c>
      <c r="AK4" s="43" t="s">
        <v>230</v>
      </c>
      <c r="AL4" s="43" t="s">
        <v>231</v>
      </c>
      <c r="AM4" s="43" t="s">
        <v>232</v>
      </c>
      <c r="AN4" s="43" t="s">
        <v>233</v>
      </c>
      <c r="AO4" s="43" t="s">
        <v>234</v>
      </c>
      <c r="AP4" s="43" t="s">
        <v>235</v>
      </c>
      <c r="AQ4" s="43" t="s">
        <v>236</v>
      </c>
      <c r="AR4" s="43" t="s">
        <v>237</v>
      </c>
    </row>
    <row r="5" customFormat="false" ht="15" hidden="false" customHeight="false" outlineLevel="0" collapsed="false">
      <c r="A5" s="7" t="s">
        <v>238</v>
      </c>
      <c r="B5" s="31" t="n">
        <f aca="false">NPV(Supuestos!$F$30,T5,Z5,AF5,AL5,AR5)</f>
        <v>-3674462.46556685</v>
      </c>
      <c r="C5" s="29" t="n">
        <f aca="false">B5-$B$5</f>
        <v>0</v>
      </c>
      <c r="D5" s="5" t="str">
        <f aca="false">IF(ABS(B5-Modelo!C39)&lt;1,"OK = Modelo","REVISAR")</f>
        <v>OK = Modelo</v>
      </c>
      <c r="E5" s="44" t="n">
        <v>1</v>
      </c>
      <c r="F5" s="44" t="n">
        <v>1</v>
      </c>
      <c r="G5" s="44" t="n">
        <v>1</v>
      </c>
      <c r="H5" s="44" t="n">
        <v>1</v>
      </c>
      <c r="I5" s="44" t="n">
        <v>1</v>
      </c>
      <c r="J5" s="44" t="n">
        <v>1</v>
      </c>
      <c r="K5" s="44" t="n">
        <v>1</v>
      </c>
      <c r="L5" s="44" t="n">
        <v>1</v>
      </c>
      <c r="M5" s="44" t="n">
        <v>1</v>
      </c>
      <c r="N5" s="44" t="n">
        <v>1</v>
      </c>
      <c r="O5" s="22" t="n">
        <f aca="false">((Supuestos!$F$31)+(Supuestos!$F$35))/2*Supuestos!$F$10*Supuestos!$F$11*Supuestos!$F$12*$E5</f>
        <v>9899347.5</v>
      </c>
      <c r="P5" s="22" t="n">
        <f aca="false">O5*MIN(1,Supuestos!$F$41*$G5)*MIN(1,Supuestos!$F$44*$H5)</f>
        <v>1385908.65</v>
      </c>
      <c r="Q5" s="22" t="n">
        <f aca="false">O5*Supuestos!$F$47*$F5*(Supuestos!$F$7/Supuestos!$F$8*Supuestos!$F$9*$M5)+P5*(Supuestos!$F$7/Supuestos!$F$6)*(((1-Supuestos!$F$22)*Supuestos!$F$19+Supuestos!$F$22*Supuestos!$F$21)-((1-MIN(1,Supuestos!$F$50*$N5))*Supuestos!$F$19+MIN(1,Supuestos!$F$50*$N5)*Supuestos!$F$20))+P5*Supuestos!$F$23/60*Supuestos!$F$24*MIN(1,Supuestos!$F$53*$L5)</f>
        <v>132873.99181875</v>
      </c>
      <c r="R5" s="22" t="n">
        <f aca="false">((Supuestos!$F$31)+(Supuestos!$F$35))/2*Supuestos!$F$13*Supuestos!$F$18*12+P5*Supuestos!$F$25+P5*Supuestos!$F$56*$J5*(Supuestos!$F$26*(Supuestos!$F$7/Supuestos!$F$6)+Supuestos!$F$27)+P5*Supuestos!$F$28*Supuestos!$F$29+(Supuestos!$F$59+Supuestos!$F$62)*$K5</f>
        <v>1672536.21003</v>
      </c>
      <c r="S5" s="22" t="n">
        <f aca="false">(Supuestos!$F$35-Supuestos!$F$31)*Supuestos!$F$13*Supuestos!$F$14*$I5*(1+Supuestos!$F$15)+MIN(Supuestos!$F$35-Supuestos!$F$31,Supuestos!$F$38)*Supuestos!$F$17+((Supuestos!$F$35-Supuestos!$F$31)-MIN(Supuestos!$F$35-Supuestos!$F$31,Supuestos!$F$38))*Supuestos!$F$16</f>
        <v>2411820</v>
      </c>
      <c r="T5" s="22" t="n">
        <f aca="false">Q5-R5-S5</f>
        <v>-3951482.21821125</v>
      </c>
      <c r="U5" s="22" t="n">
        <f aca="false">((Supuestos!$F$35)+(Supuestos!$F$36))/2*Supuestos!$F$10*Supuestos!$F$11*Supuestos!$F$12*$E5</f>
        <v>25754400</v>
      </c>
      <c r="V5" s="22" t="n">
        <f aca="false">U5*MIN(1,Supuestos!$F$42*$G5)*MIN(1,Supuestos!$F$45*$H5)</f>
        <v>5872003.2</v>
      </c>
      <c r="W5" s="22" t="n">
        <f aca="false">U5*Supuestos!$F$48*$F5*(Supuestos!$F$7/Supuestos!$F$8*Supuestos!$F$9*$M5)+V5*(Supuestos!$F$7/Supuestos!$F$6)*(((1-Supuestos!$F$22)*Supuestos!$F$19+Supuestos!$F$22*Supuestos!$F$21)-((1-MIN(1,Supuestos!$F$51*$N5))*Supuestos!$F$19+MIN(1,Supuestos!$F$51*$N5)*Supuestos!$F$20))+V5*Supuestos!$F$23/60*Supuestos!$F$24*MIN(1,Supuestos!$F$54*$L5)</f>
        <v>1418853.67848</v>
      </c>
      <c r="X5" s="22" t="n">
        <f aca="false">((Supuestos!$F$35)+(Supuestos!$F$36))/2*Supuestos!$F$13*Supuestos!$F$18*12+V5*Supuestos!$F$25+V5*Supuestos!$F$57*$J5*(Supuestos!$F$26*(Supuestos!$F$7/Supuestos!$F$6)+Supuestos!$F$27)+V5*Supuestos!$F$28*Supuestos!$F$29+(Supuestos!$F$60+Supuestos!$F$63)*$K5</f>
        <v>2225344.3264</v>
      </c>
      <c r="Y5" s="22" t="n">
        <f aca="false">(Supuestos!$F$36-Supuestos!$F$35)*Supuestos!$F$13*Supuestos!$F$14*$I5*(1+Supuestos!$F$15)+MIN(Supuestos!$F$36-Supuestos!$F$35,Supuestos!$F$39)*Supuestos!$F$17+((Supuestos!$F$36-Supuestos!$F$35)-MIN(Supuestos!$F$36-Supuestos!$F$35,Supuestos!$F$39))*Supuestos!$F$16</f>
        <v>1956800</v>
      </c>
      <c r="Z5" s="22" t="n">
        <f aca="false">W5-X5-Y5</f>
        <v>-2763290.64792</v>
      </c>
      <c r="AA5" s="22" t="n">
        <f aca="false">((Supuestos!$F$36)+(Supuestos!$F$37))/2*Supuestos!$F$10*Supuestos!$F$11*Supuestos!$F$12*$E5</f>
        <v>36217125</v>
      </c>
      <c r="AB5" s="22" t="n">
        <f aca="false">AA5*MIN(1,Supuestos!$F$43*$G5)*MIN(1,Supuestos!$F$46*$H5)</f>
        <v>11589480</v>
      </c>
      <c r="AC5" s="22" t="n">
        <f aca="false">AA5*Supuestos!$F$49*$F5*(Supuestos!$F$7/Supuestos!$F$8*Supuestos!$F$9*$M5)+AB5*(Supuestos!$F$7/Supuestos!$F$6)*(((1-Supuestos!$F$22)*Supuestos!$F$19+Supuestos!$F$22*Supuestos!$F$21)-((1-MIN(1,Supuestos!$F$52*$N5))*Supuestos!$F$19+MIN(1,Supuestos!$F$52*$N5)*Supuestos!$F$20))+AB5*Supuestos!$F$23/60*Supuestos!$F$24*MIN(1,Supuestos!$F$55*$L5)</f>
        <v>4083209.2153125</v>
      </c>
      <c r="AD5" s="22" t="n">
        <f aca="false">((Supuestos!$F$36)+(Supuestos!$F$37))/2*Supuestos!$F$13*Supuestos!$F$18*12+AB5*Supuestos!$F$25+AB5*Supuestos!$F$58*$J5*(Supuestos!$F$26*(Supuestos!$F$7/Supuestos!$F$6)+Supuestos!$F$27)+AB5*Supuestos!$F$28*Supuestos!$F$29+(Supuestos!$F$61+Supuestos!$F$64)*$K5</f>
        <v>2735827.928</v>
      </c>
      <c r="AE5" s="22" t="n">
        <f aca="false">(Supuestos!$F$37-Supuestos!$F$36)*Supuestos!$F$13*Supuestos!$F$14*$I5*(1+Supuestos!$F$15)+MIN(Supuestos!$F$37-Supuestos!$F$36,Supuestos!$F$40)*Supuestos!$F$17+((Supuestos!$F$37-Supuestos!$F$36)-MIN(Supuestos!$F$37-Supuestos!$F$36,Supuestos!$F$40))*Supuestos!$F$16</f>
        <v>1223000</v>
      </c>
      <c r="AF5" s="22" t="n">
        <f aca="false">AC5-AD5-AE5</f>
        <v>124381.287312499</v>
      </c>
      <c r="AG5" s="22" t="n">
        <f aca="false">((Supuestos!$F$37)+(Supuestos!$F$37))/2*Supuestos!$F$10*Supuestos!$F$11*Supuestos!$F$12*$E5</f>
        <v>40241250</v>
      </c>
      <c r="AH5" s="22" t="n">
        <f aca="false">AG5*MIN(1,Supuestos!$F$43*$G5)*MIN(1,Supuestos!$F$46*$H5)</f>
        <v>12877200</v>
      </c>
      <c r="AI5" s="22" t="n">
        <f aca="false">AG5*Supuestos!$F$49*$F5*(Supuestos!$F$7/Supuestos!$F$8*Supuestos!$F$9*$M5)+AH5*(Supuestos!$F$7/Supuestos!$F$6)*(((1-Supuestos!$F$22)*Supuestos!$F$19+Supuestos!$F$22*Supuestos!$F$21)-((1-MIN(1,Supuestos!$F$52*$N5))*Supuestos!$F$19+MIN(1,Supuestos!$F$52*$N5)*Supuestos!$F$20))+AH5*Supuestos!$F$23/60*Supuestos!$F$24*MIN(1,Supuestos!$F$55*$L5)</f>
        <v>4536899.128125</v>
      </c>
      <c r="AJ5" s="22" t="n">
        <f aca="false">((Supuestos!$F$37)+(Supuestos!$F$37))/2*Supuestos!$F$13*Supuestos!$F$18*12+AH5*Supuestos!$F$25+AH5*Supuestos!$F$58*$J5*(Supuestos!$F$26*(Supuestos!$F$7/Supuestos!$F$6)+Supuestos!$F$27)+AH5*Supuestos!$F$28*Supuestos!$F$29+(Supuestos!$F$61+Supuestos!$F$64)*$K5</f>
        <v>2900919.92</v>
      </c>
      <c r="AK5" s="22" t="n">
        <f aca="false">0</f>
        <v>0</v>
      </c>
      <c r="AL5" s="22" t="n">
        <f aca="false">AI5-AJ5-AK5</f>
        <v>1635979.208125</v>
      </c>
      <c r="AM5" s="22" t="n">
        <f aca="false">((Supuestos!$F$37)+(Supuestos!$F$37))/2*Supuestos!$F$10*Supuestos!$F$11*Supuestos!$F$12*$E5</f>
        <v>40241250</v>
      </c>
      <c r="AN5" s="22" t="n">
        <f aca="false">AM5*MIN(1,Supuestos!$F$43*$G5)*MIN(1,Supuestos!$F$46*$H5)</f>
        <v>12877200</v>
      </c>
      <c r="AO5" s="22" t="n">
        <f aca="false">AM5*Supuestos!$F$49*$F5*(Supuestos!$F$7/Supuestos!$F$8*Supuestos!$F$9*$M5)+AN5*(Supuestos!$F$7/Supuestos!$F$6)*(((1-Supuestos!$F$22)*Supuestos!$F$19+Supuestos!$F$22*Supuestos!$F$21)-((1-MIN(1,Supuestos!$F$52*$N5))*Supuestos!$F$19+MIN(1,Supuestos!$F$52*$N5)*Supuestos!$F$20))+AN5*Supuestos!$F$23/60*Supuestos!$F$24*MIN(1,Supuestos!$F$55*$L5)</f>
        <v>4536899.128125</v>
      </c>
      <c r="AP5" s="22" t="n">
        <f aca="false">((Supuestos!$F$37)+(Supuestos!$F$37))/2*Supuestos!$F$13*Supuestos!$F$18*12+AN5*Supuestos!$F$25+AN5*Supuestos!$F$58*$J5*(Supuestos!$F$26*(Supuestos!$F$7/Supuestos!$F$6)+Supuestos!$F$27)+AN5*Supuestos!$F$28*Supuestos!$F$29+(Supuestos!$F$61+Supuestos!$F$64)*$K5</f>
        <v>2900919.92</v>
      </c>
      <c r="AQ5" s="22" t="n">
        <f aca="false">0</f>
        <v>0</v>
      </c>
      <c r="AR5" s="22" t="n">
        <f aca="false">AO5-AP5-AQ5</f>
        <v>1635979.208125</v>
      </c>
    </row>
    <row r="6" customFormat="false" ht="15" hidden="false" customHeight="false" outlineLevel="0" collapsed="false">
      <c r="A6" s="7" t="s">
        <v>239</v>
      </c>
      <c r="B6" s="31" t="n">
        <f aca="false">NPV(Supuestos!$F$30,T6,Z6,AF6,AL6,AR6)</f>
        <v>-5388700.24591831</v>
      </c>
      <c r="C6" s="29" t="n">
        <f aca="false">B6-$B$5</f>
        <v>-1714237.78035146</v>
      </c>
      <c r="D6" s="4"/>
      <c r="E6" s="44" t="n">
        <v>0.75</v>
      </c>
      <c r="F6" s="44" t="n">
        <v>1</v>
      </c>
      <c r="G6" s="44" t="n">
        <v>1</v>
      </c>
      <c r="H6" s="44" t="n">
        <v>1</v>
      </c>
      <c r="I6" s="44" t="n">
        <v>1</v>
      </c>
      <c r="J6" s="44" t="n">
        <v>1</v>
      </c>
      <c r="K6" s="44" t="n">
        <v>1</v>
      </c>
      <c r="L6" s="44" t="n">
        <v>1</v>
      </c>
      <c r="M6" s="44" t="n">
        <v>1</v>
      </c>
      <c r="N6" s="44" t="n">
        <v>1</v>
      </c>
      <c r="O6" s="22" t="n">
        <f aca="false">((Supuestos!$F$31)+(Supuestos!$F$35))/2*Supuestos!$F$10*Supuestos!$F$11*Supuestos!$F$12*$E6</f>
        <v>7424510.625</v>
      </c>
      <c r="P6" s="22" t="n">
        <f aca="false">O6*MIN(1,Supuestos!$F$41*$G6)*MIN(1,Supuestos!$F$44*$H6)</f>
        <v>1039431.4875</v>
      </c>
      <c r="Q6" s="22" t="n">
        <f aca="false">O6*Supuestos!$F$47*$F6*(Supuestos!$F$7/Supuestos!$F$8*Supuestos!$F$9*$M6)+P6*(Supuestos!$F$7/Supuestos!$F$6)*(((1-Supuestos!$F$22)*Supuestos!$F$19+Supuestos!$F$22*Supuestos!$F$21)-((1-MIN(1,Supuestos!$F$50*$N6))*Supuestos!$F$19+MIN(1,Supuestos!$F$50*$N6)*Supuestos!$F$20))+P6*Supuestos!$F$23/60*Supuestos!$F$24*MIN(1,Supuestos!$F$53*$L6)</f>
        <v>99655.4938640625</v>
      </c>
      <c r="R6" s="22" t="n">
        <f aca="false">((Supuestos!$F$31)+(Supuestos!$F$35))/2*Supuestos!$F$13*Supuestos!$F$18*12+P6*Supuestos!$F$25+P6*Supuestos!$F$56*$J6*(Supuestos!$F$26*(Supuestos!$F$7/Supuestos!$F$6)+Supuestos!$F$27)+P6*Supuestos!$F$28*Supuestos!$F$29+(Supuestos!$F$59+Supuestos!$F$62)*$K6</f>
        <v>1623267.1575225</v>
      </c>
      <c r="S6" s="22" t="n">
        <f aca="false">(Supuestos!$F$35-Supuestos!$F$31)*Supuestos!$F$13*Supuestos!$F$14*$I6*(1+Supuestos!$F$15)+MIN(Supuestos!$F$35-Supuestos!$F$31,Supuestos!$F$38)*Supuestos!$F$17+((Supuestos!$F$35-Supuestos!$F$31)-MIN(Supuestos!$F$35-Supuestos!$F$31,Supuestos!$F$38))*Supuestos!$F$16</f>
        <v>2411820</v>
      </c>
      <c r="T6" s="22" t="n">
        <f aca="false">Q6-R6-S6</f>
        <v>-3935431.66365844</v>
      </c>
      <c r="U6" s="22" t="n">
        <f aca="false">((Supuestos!$F$35)+(Supuestos!$F$36))/2*Supuestos!$F$10*Supuestos!$F$11*Supuestos!$F$12*$E6</f>
        <v>19315800</v>
      </c>
      <c r="V6" s="22" t="n">
        <f aca="false">U6*MIN(1,Supuestos!$F$42*$G6)*MIN(1,Supuestos!$F$45*$H6)</f>
        <v>4404002.4</v>
      </c>
      <c r="W6" s="22" t="n">
        <f aca="false">U6*Supuestos!$F$48*$F6*(Supuestos!$F$7/Supuestos!$F$8*Supuestos!$F$9*$M6)+V6*(Supuestos!$F$7/Supuestos!$F$6)*(((1-Supuestos!$F$22)*Supuestos!$F$19+Supuestos!$F$22*Supuestos!$F$21)-((1-MIN(1,Supuestos!$F$51*$N6))*Supuestos!$F$19+MIN(1,Supuestos!$F$51*$N6)*Supuestos!$F$20))+V6*Supuestos!$F$23/60*Supuestos!$F$24*MIN(1,Supuestos!$F$54*$L6)</f>
        <v>1064140.25886</v>
      </c>
      <c r="X6" s="22" t="n">
        <f aca="false">((Supuestos!$F$35)+(Supuestos!$F$36))/2*Supuestos!$F$13*Supuestos!$F$18*12+V6*Supuestos!$F$25+V6*Supuestos!$F$57*$J6*(Supuestos!$F$26*(Supuestos!$F$7/Supuestos!$F$6)+Supuestos!$F$27)+V6*Supuestos!$F$28*Supuestos!$F$29+(Supuestos!$F$60+Supuestos!$F$63)*$K6</f>
        <v>2075608.2448</v>
      </c>
      <c r="Y6" s="22" t="n">
        <f aca="false">(Supuestos!$F$36-Supuestos!$F$35)*Supuestos!$F$13*Supuestos!$F$14*$I6*(1+Supuestos!$F$15)+MIN(Supuestos!$F$36-Supuestos!$F$35,Supuestos!$F$39)*Supuestos!$F$17+((Supuestos!$F$36-Supuestos!$F$35)-MIN(Supuestos!$F$36-Supuestos!$F$35,Supuestos!$F$39))*Supuestos!$F$16</f>
        <v>1956800</v>
      </c>
      <c r="Z6" s="22" t="n">
        <f aca="false">W6-X6-Y6</f>
        <v>-2968267.98594</v>
      </c>
      <c r="AA6" s="22" t="n">
        <f aca="false">((Supuestos!$F$36)+(Supuestos!$F$37))/2*Supuestos!$F$10*Supuestos!$F$11*Supuestos!$F$12*$E6</f>
        <v>27162843.75</v>
      </c>
      <c r="AB6" s="22" t="n">
        <f aca="false">AA6*MIN(1,Supuestos!$F$43*$G6)*MIN(1,Supuestos!$F$46*$H6)</f>
        <v>8692110</v>
      </c>
      <c r="AC6" s="22" t="n">
        <f aca="false">AA6*Supuestos!$F$49*$F6*(Supuestos!$F$7/Supuestos!$F$8*Supuestos!$F$9*$M6)+AB6*(Supuestos!$F$7/Supuestos!$F$6)*(((1-Supuestos!$F$22)*Supuestos!$F$19+Supuestos!$F$22*Supuestos!$F$21)-((1-MIN(1,Supuestos!$F$52*$N6))*Supuestos!$F$19+MIN(1,Supuestos!$F$52*$N6)*Supuestos!$F$20))+AB6*Supuestos!$F$23/60*Supuestos!$F$24*MIN(1,Supuestos!$F$55*$L6)</f>
        <v>3062406.91148437</v>
      </c>
      <c r="AD6" s="22" t="n">
        <f aca="false">((Supuestos!$F$36)+(Supuestos!$F$37))/2*Supuestos!$F$13*Supuestos!$F$18*12+AB6*Supuestos!$F$25+AB6*Supuestos!$F$58*$J6*(Supuestos!$F$26*(Supuestos!$F$7/Supuestos!$F$6)+Supuestos!$F$27)+AB6*Supuestos!$F$28*Supuestos!$F$29+(Supuestos!$F$61+Supuestos!$F$64)*$K6</f>
        <v>2479120.946</v>
      </c>
      <c r="AE6" s="22" t="n">
        <f aca="false">(Supuestos!$F$37-Supuestos!$F$36)*Supuestos!$F$13*Supuestos!$F$14*$I6*(1+Supuestos!$F$15)+MIN(Supuestos!$F$37-Supuestos!$F$36,Supuestos!$F$40)*Supuestos!$F$17+((Supuestos!$F$37-Supuestos!$F$36)-MIN(Supuestos!$F$37-Supuestos!$F$36,Supuestos!$F$40))*Supuestos!$F$16</f>
        <v>1223000</v>
      </c>
      <c r="AF6" s="22" t="n">
        <f aca="false">AC6-AD6-AE6</f>
        <v>-639714.034515625</v>
      </c>
      <c r="AG6" s="22" t="n">
        <f aca="false">((Supuestos!$F$37)+(Supuestos!$F$37))/2*Supuestos!$F$10*Supuestos!$F$11*Supuestos!$F$12*$E6</f>
        <v>30180937.5</v>
      </c>
      <c r="AH6" s="22" t="n">
        <f aca="false">AG6*MIN(1,Supuestos!$F$43*$G6)*MIN(1,Supuestos!$F$46*$H6)</f>
        <v>9657900</v>
      </c>
      <c r="AI6" s="22" t="n">
        <f aca="false">AG6*Supuestos!$F$49*$F6*(Supuestos!$F$7/Supuestos!$F$8*Supuestos!$F$9*$M6)+AH6*(Supuestos!$F$7/Supuestos!$F$6)*(((1-Supuestos!$F$22)*Supuestos!$F$19+Supuestos!$F$22*Supuestos!$F$21)-((1-MIN(1,Supuestos!$F$52*$N6))*Supuestos!$F$19+MIN(1,Supuestos!$F$52*$N6)*Supuestos!$F$20))+AH6*Supuestos!$F$23/60*Supuestos!$F$24*MIN(1,Supuestos!$F$55*$L6)</f>
        <v>3402674.34609375</v>
      </c>
      <c r="AJ6" s="22" t="n">
        <f aca="false">((Supuestos!$F$37)+(Supuestos!$F$37))/2*Supuestos!$F$13*Supuestos!$F$18*12+AH6*Supuestos!$F$25+AH6*Supuestos!$F$58*$J6*(Supuestos!$F$26*(Supuestos!$F$7/Supuestos!$F$6)+Supuestos!$F$27)+AH6*Supuestos!$F$28*Supuestos!$F$29+(Supuestos!$F$61+Supuestos!$F$64)*$K6</f>
        <v>2615689.94</v>
      </c>
      <c r="AK6" s="22" t="n">
        <f aca="false">0</f>
        <v>0</v>
      </c>
      <c r="AL6" s="22" t="n">
        <f aca="false">AI6-AJ6-AK6</f>
        <v>786984.406093749</v>
      </c>
      <c r="AM6" s="22" t="n">
        <f aca="false">((Supuestos!$F$37)+(Supuestos!$F$37))/2*Supuestos!$F$10*Supuestos!$F$11*Supuestos!$F$12*$E6</f>
        <v>30180937.5</v>
      </c>
      <c r="AN6" s="22" t="n">
        <f aca="false">AM6*MIN(1,Supuestos!$F$43*$G6)*MIN(1,Supuestos!$F$46*$H6)</f>
        <v>9657900</v>
      </c>
      <c r="AO6" s="22" t="n">
        <f aca="false">AM6*Supuestos!$F$49*$F6*(Supuestos!$F$7/Supuestos!$F$8*Supuestos!$F$9*$M6)+AN6*(Supuestos!$F$7/Supuestos!$F$6)*(((1-Supuestos!$F$22)*Supuestos!$F$19+Supuestos!$F$22*Supuestos!$F$21)-((1-MIN(1,Supuestos!$F$52*$N6))*Supuestos!$F$19+MIN(1,Supuestos!$F$52*$N6)*Supuestos!$F$20))+AN6*Supuestos!$F$23/60*Supuestos!$F$24*MIN(1,Supuestos!$F$55*$L6)</f>
        <v>3402674.34609375</v>
      </c>
      <c r="AP6" s="22" t="n">
        <f aca="false">((Supuestos!$F$37)+(Supuestos!$F$37))/2*Supuestos!$F$13*Supuestos!$F$18*12+AN6*Supuestos!$F$25+AN6*Supuestos!$F$58*$J6*(Supuestos!$F$26*(Supuestos!$F$7/Supuestos!$F$6)+Supuestos!$F$27)+AN6*Supuestos!$F$28*Supuestos!$F$29+(Supuestos!$F$61+Supuestos!$F$64)*$K6</f>
        <v>2615689.94</v>
      </c>
      <c r="AQ6" s="22" t="n">
        <f aca="false">0</f>
        <v>0</v>
      </c>
      <c r="AR6" s="22" t="n">
        <f aca="false">AO6-AP6-AQ6</f>
        <v>786984.406093749</v>
      </c>
    </row>
    <row r="7" customFormat="false" ht="15" hidden="false" customHeight="false" outlineLevel="0" collapsed="false">
      <c r="A7" s="7" t="s">
        <v>240</v>
      </c>
      <c r="B7" s="31" t="n">
        <f aca="false">NPV(Supuestos!$F$30,T7,Z7,AF7,AL7,AR7)</f>
        <v>-1960224.68521539</v>
      </c>
      <c r="C7" s="29" t="n">
        <f aca="false">B7-$B$5</f>
        <v>1714237.78035146</v>
      </c>
      <c r="D7" s="4"/>
      <c r="E7" s="44" t="n">
        <v>1.25</v>
      </c>
      <c r="F7" s="44" t="n">
        <v>1</v>
      </c>
      <c r="G7" s="44" t="n">
        <v>1</v>
      </c>
      <c r="H7" s="44" t="n">
        <v>1</v>
      </c>
      <c r="I7" s="44" t="n">
        <v>1</v>
      </c>
      <c r="J7" s="44" t="n">
        <v>1</v>
      </c>
      <c r="K7" s="44" t="n">
        <v>1</v>
      </c>
      <c r="L7" s="44" t="n">
        <v>1</v>
      </c>
      <c r="M7" s="44" t="n">
        <v>1</v>
      </c>
      <c r="N7" s="44" t="n">
        <v>1</v>
      </c>
      <c r="O7" s="22" t="n">
        <f aca="false">((Supuestos!$F$31)+(Supuestos!$F$35))/2*Supuestos!$F$10*Supuestos!$F$11*Supuestos!$F$12*$E7</f>
        <v>12374184.375</v>
      </c>
      <c r="P7" s="22" t="n">
        <f aca="false">O7*MIN(1,Supuestos!$F$41*$G7)*MIN(1,Supuestos!$F$44*$H7)</f>
        <v>1732385.8125</v>
      </c>
      <c r="Q7" s="22" t="n">
        <f aca="false">O7*Supuestos!$F$47*$F7*(Supuestos!$F$7/Supuestos!$F$8*Supuestos!$F$9*$M7)+P7*(Supuestos!$F$7/Supuestos!$F$6)*(((1-Supuestos!$F$22)*Supuestos!$F$19+Supuestos!$F$22*Supuestos!$F$21)-((1-MIN(1,Supuestos!$F$50*$N7))*Supuestos!$F$19+MIN(1,Supuestos!$F$50*$N7)*Supuestos!$F$20))+P7*Supuestos!$F$23/60*Supuestos!$F$24*MIN(1,Supuestos!$F$53*$L7)</f>
        <v>166092.489773437</v>
      </c>
      <c r="R7" s="22" t="n">
        <f aca="false">((Supuestos!$F$31)+(Supuestos!$F$35))/2*Supuestos!$F$13*Supuestos!$F$18*12+P7*Supuestos!$F$25+P7*Supuestos!$F$56*$J7*(Supuestos!$F$26*(Supuestos!$F$7/Supuestos!$F$6)+Supuestos!$F$27)+P7*Supuestos!$F$28*Supuestos!$F$29+(Supuestos!$F$59+Supuestos!$F$62)*$K7</f>
        <v>1721805.2625375</v>
      </c>
      <c r="S7" s="22" t="n">
        <f aca="false">(Supuestos!$F$35-Supuestos!$F$31)*Supuestos!$F$13*Supuestos!$F$14*$I7*(1+Supuestos!$F$15)+MIN(Supuestos!$F$35-Supuestos!$F$31,Supuestos!$F$38)*Supuestos!$F$17+((Supuestos!$F$35-Supuestos!$F$31)-MIN(Supuestos!$F$35-Supuestos!$F$31,Supuestos!$F$38))*Supuestos!$F$16</f>
        <v>2411820</v>
      </c>
      <c r="T7" s="22" t="n">
        <f aca="false">Q7-R7-S7</f>
        <v>-3967532.77276406</v>
      </c>
      <c r="U7" s="22" t="n">
        <f aca="false">((Supuestos!$F$35)+(Supuestos!$F$36))/2*Supuestos!$F$10*Supuestos!$F$11*Supuestos!$F$12*$E7</f>
        <v>32193000</v>
      </c>
      <c r="V7" s="22" t="n">
        <f aca="false">U7*MIN(1,Supuestos!$F$42*$G7)*MIN(1,Supuestos!$F$45*$H7)</f>
        <v>7340004</v>
      </c>
      <c r="W7" s="22" t="n">
        <f aca="false">U7*Supuestos!$F$48*$F7*(Supuestos!$F$7/Supuestos!$F$8*Supuestos!$F$9*$M7)+V7*(Supuestos!$F$7/Supuestos!$F$6)*(((1-Supuestos!$F$22)*Supuestos!$F$19+Supuestos!$F$22*Supuestos!$F$21)-((1-MIN(1,Supuestos!$F$51*$N7))*Supuestos!$F$19+MIN(1,Supuestos!$F$51*$N7)*Supuestos!$F$20))+V7*Supuestos!$F$23/60*Supuestos!$F$24*MIN(1,Supuestos!$F$54*$L7)</f>
        <v>1773567.0981</v>
      </c>
      <c r="X7" s="22" t="n">
        <f aca="false">((Supuestos!$F$35)+(Supuestos!$F$36))/2*Supuestos!$F$13*Supuestos!$F$18*12+V7*Supuestos!$F$25+V7*Supuestos!$F$57*$J7*(Supuestos!$F$26*(Supuestos!$F$7/Supuestos!$F$6)+Supuestos!$F$27)+V7*Supuestos!$F$28*Supuestos!$F$29+(Supuestos!$F$60+Supuestos!$F$63)*$K7</f>
        <v>2375080.408</v>
      </c>
      <c r="Y7" s="22" t="n">
        <f aca="false">(Supuestos!$F$36-Supuestos!$F$35)*Supuestos!$F$13*Supuestos!$F$14*$I7*(1+Supuestos!$F$15)+MIN(Supuestos!$F$36-Supuestos!$F$35,Supuestos!$F$39)*Supuestos!$F$17+((Supuestos!$F$36-Supuestos!$F$35)-MIN(Supuestos!$F$36-Supuestos!$F$35,Supuestos!$F$39))*Supuestos!$F$16</f>
        <v>1956800</v>
      </c>
      <c r="Z7" s="22" t="n">
        <f aca="false">W7-X7-Y7</f>
        <v>-2558313.3099</v>
      </c>
      <c r="AA7" s="22" t="n">
        <f aca="false">((Supuestos!$F$36)+(Supuestos!$F$37))/2*Supuestos!$F$10*Supuestos!$F$11*Supuestos!$F$12*$E7</f>
        <v>45271406.25</v>
      </c>
      <c r="AB7" s="22" t="n">
        <f aca="false">AA7*MIN(1,Supuestos!$F$43*$G7)*MIN(1,Supuestos!$F$46*$H7)</f>
        <v>14486850</v>
      </c>
      <c r="AC7" s="22" t="n">
        <f aca="false">AA7*Supuestos!$F$49*$F7*(Supuestos!$F$7/Supuestos!$F$8*Supuestos!$F$9*$M7)+AB7*(Supuestos!$F$7/Supuestos!$F$6)*(((1-Supuestos!$F$22)*Supuestos!$F$19+Supuestos!$F$22*Supuestos!$F$21)-((1-MIN(1,Supuestos!$F$52*$N7))*Supuestos!$F$19+MIN(1,Supuestos!$F$52*$N7)*Supuestos!$F$20))+AB7*Supuestos!$F$23/60*Supuestos!$F$24*MIN(1,Supuestos!$F$55*$L7)</f>
        <v>5104011.51914062</v>
      </c>
      <c r="AD7" s="22" t="n">
        <f aca="false">((Supuestos!$F$36)+(Supuestos!$F$37))/2*Supuestos!$F$13*Supuestos!$F$18*12+AB7*Supuestos!$F$25+AB7*Supuestos!$F$58*$J7*(Supuestos!$F$26*(Supuestos!$F$7/Supuestos!$F$6)+Supuestos!$F$27)+AB7*Supuestos!$F$28*Supuestos!$F$29+(Supuestos!$F$61+Supuestos!$F$64)*$K7</f>
        <v>2992534.91</v>
      </c>
      <c r="AE7" s="22" t="n">
        <f aca="false">(Supuestos!$F$37-Supuestos!$F$36)*Supuestos!$F$13*Supuestos!$F$14*$I7*(1+Supuestos!$F$15)+MIN(Supuestos!$F$37-Supuestos!$F$36,Supuestos!$F$40)*Supuestos!$F$17+((Supuestos!$F$37-Supuestos!$F$36)-MIN(Supuestos!$F$37-Supuestos!$F$36,Supuestos!$F$40))*Supuestos!$F$16</f>
        <v>1223000</v>
      </c>
      <c r="AF7" s="22" t="n">
        <f aca="false">AC7-AD7-AE7</f>
        <v>888476.609140624</v>
      </c>
      <c r="AG7" s="22" t="n">
        <f aca="false">((Supuestos!$F$37)+(Supuestos!$F$37))/2*Supuestos!$F$10*Supuestos!$F$11*Supuestos!$F$12*$E7</f>
        <v>50301562.5</v>
      </c>
      <c r="AH7" s="22" t="n">
        <f aca="false">AG7*MIN(1,Supuestos!$F$43*$G7)*MIN(1,Supuestos!$F$46*$H7)</f>
        <v>16096500</v>
      </c>
      <c r="AI7" s="22" t="n">
        <f aca="false">AG7*Supuestos!$F$49*$F7*(Supuestos!$F$7/Supuestos!$F$8*Supuestos!$F$9*$M7)+AH7*(Supuestos!$F$7/Supuestos!$F$6)*(((1-Supuestos!$F$22)*Supuestos!$F$19+Supuestos!$F$22*Supuestos!$F$21)-((1-MIN(1,Supuestos!$F$52*$N7))*Supuestos!$F$19+MIN(1,Supuestos!$F$52*$N7)*Supuestos!$F$20))+AH7*Supuestos!$F$23/60*Supuestos!$F$24*MIN(1,Supuestos!$F$55*$L7)</f>
        <v>5671123.91015625</v>
      </c>
      <c r="AJ7" s="22" t="n">
        <f aca="false">((Supuestos!$F$37)+(Supuestos!$F$37))/2*Supuestos!$F$13*Supuestos!$F$18*12+AH7*Supuestos!$F$25+AH7*Supuestos!$F$58*$J7*(Supuestos!$F$26*(Supuestos!$F$7/Supuestos!$F$6)+Supuestos!$F$27)+AH7*Supuestos!$F$28*Supuestos!$F$29+(Supuestos!$F$61+Supuestos!$F$64)*$K7</f>
        <v>3186149.9</v>
      </c>
      <c r="AK7" s="22" t="n">
        <f aca="false">0</f>
        <v>0</v>
      </c>
      <c r="AL7" s="22" t="n">
        <f aca="false">AI7-AJ7-AK7</f>
        <v>2484974.01015625</v>
      </c>
      <c r="AM7" s="22" t="n">
        <f aca="false">((Supuestos!$F$37)+(Supuestos!$F$37))/2*Supuestos!$F$10*Supuestos!$F$11*Supuestos!$F$12*$E7</f>
        <v>50301562.5</v>
      </c>
      <c r="AN7" s="22" t="n">
        <f aca="false">AM7*MIN(1,Supuestos!$F$43*$G7)*MIN(1,Supuestos!$F$46*$H7)</f>
        <v>16096500</v>
      </c>
      <c r="AO7" s="22" t="n">
        <f aca="false">AM7*Supuestos!$F$49*$F7*(Supuestos!$F$7/Supuestos!$F$8*Supuestos!$F$9*$M7)+AN7*(Supuestos!$F$7/Supuestos!$F$6)*(((1-Supuestos!$F$22)*Supuestos!$F$19+Supuestos!$F$22*Supuestos!$F$21)-((1-MIN(1,Supuestos!$F$52*$N7))*Supuestos!$F$19+MIN(1,Supuestos!$F$52*$N7)*Supuestos!$F$20))+AN7*Supuestos!$F$23/60*Supuestos!$F$24*MIN(1,Supuestos!$F$55*$L7)</f>
        <v>5671123.91015625</v>
      </c>
      <c r="AP7" s="22" t="n">
        <f aca="false">((Supuestos!$F$37)+(Supuestos!$F$37))/2*Supuestos!$F$13*Supuestos!$F$18*12+AN7*Supuestos!$F$25+AN7*Supuestos!$F$58*$J7*(Supuestos!$F$26*(Supuestos!$F$7/Supuestos!$F$6)+Supuestos!$F$27)+AN7*Supuestos!$F$28*Supuestos!$F$29+(Supuestos!$F$61+Supuestos!$F$64)*$K7</f>
        <v>3186149.9</v>
      </c>
      <c r="AQ7" s="22" t="n">
        <f aca="false">0</f>
        <v>0</v>
      </c>
      <c r="AR7" s="22" t="n">
        <f aca="false">AO7-AP7-AQ7</f>
        <v>2484974.01015625</v>
      </c>
    </row>
    <row r="8" customFormat="false" ht="15" hidden="false" customHeight="false" outlineLevel="0" collapsed="false">
      <c r="A8" s="7" t="s">
        <v>241</v>
      </c>
      <c r="B8" s="31" t="n">
        <f aca="false">NPV(Supuestos!$F$30,T8,Z8,AF8,AL8,AR8)</f>
        <v>-4729397.90033775</v>
      </c>
      <c r="C8" s="29" t="n">
        <f aca="false">B8-$B$5</f>
        <v>-1054935.4347709</v>
      </c>
      <c r="D8" s="4"/>
      <c r="E8" s="44" t="n">
        <v>1</v>
      </c>
      <c r="F8" s="44" t="n">
        <v>0.75</v>
      </c>
      <c r="G8" s="44" t="n">
        <v>1</v>
      </c>
      <c r="H8" s="44" t="n">
        <v>1</v>
      </c>
      <c r="I8" s="44" t="n">
        <v>1</v>
      </c>
      <c r="J8" s="44" t="n">
        <v>1</v>
      </c>
      <c r="K8" s="44" t="n">
        <v>1</v>
      </c>
      <c r="L8" s="44" t="n">
        <v>1</v>
      </c>
      <c r="M8" s="44" t="n">
        <v>1</v>
      </c>
      <c r="N8" s="44" t="n">
        <v>1</v>
      </c>
      <c r="O8" s="22" t="n">
        <f aca="false">((Supuestos!$F$31)+(Supuestos!$F$35))/2*Supuestos!$F$10*Supuestos!$F$11*Supuestos!$F$12*$E8</f>
        <v>9899347.5</v>
      </c>
      <c r="P8" s="22" t="n">
        <f aca="false">O8*MIN(1,Supuestos!$F$41*$G8)*MIN(1,Supuestos!$F$44*$H8)</f>
        <v>1385908.65</v>
      </c>
      <c r="Q8" s="22" t="n">
        <f aca="false">O8*Supuestos!$F$47*$F8*(Supuestos!$F$7/Supuestos!$F$8*Supuestos!$F$9*$M8)+P8*(Supuestos!$F$7/Supuestos!$F$6)*(((1-Supuestos!$F$22)*Supuestos!$F$19+Supuestos!$F$22*Supuestos!$F$21)-((1-MIN(1,Supuestos!$F$50*$N8))*Supuestos!$F$19+MIN(1,Supuestos!$F$50*$N8)*Supuestos!$F$20))+P8*Supuestos!$F$23/60*Supuestos!$F$24*MIN(1,Supuestos!$F$53*$L8)</f>
        <v>94544.9557171875</v>
      </c>
      <c r="R8" s="22" t="n">
        <f aca="false">((Supuestos!$F$31)+(Supuestos!$F$35))/2*Supuestos!$F$13*Supuestos!$F$18*12+P8*Supuestos!$F$25+P8*Supuestos!$F$56*$J8*(Supuestos!$F$26*(Supuestos!$F$7/Supuestos!$F$6)+Supuestos!$F$27)+P8*Supuestos!$F$28*Supuestos!$F$29+(Supuestos!$F$59+Supuestos!$F$62)*$K8</f>
        <v>1672536.21003</v>
      </c>
      <c r="S8" s="22" t="n">
        <f aca="false">(Supuestos!$F$35-Supuestos!$F$31)*Supuestos!$F$13*Supuestos!$F$14*$I8*(1+Supuestos!$F$15)+MIN(Supuestos!$F$35-Supuestos!$F$31,Supuestos!$F$38)*Supuestos!$F$17+((Supuestos!$F$35-Supuestos!$F$31)-MIN(Supuestos!$F$35-Supuestos!$F$31,Supuestos!$F$38))*Supuestos!$F$16</f>
        <v>2411820</v>
      </c>
      <c r="T8" s="22" t="n">
        <f aca="false">Q8-R8-S8</f>
        <v>-3989811.25431281</v>
      </c>
      <c r="U8" s="22" t="n">
        <f aca="false">((Supuestos!$F$35)+(Supuestos!$F$36))/2*Supuestos!$F$10*Supuestos!$F$11*Supuestos!$F$12*$E8</f>
        <v>25754400</v>
      </c>
      <c r="V8" s="22" t="n">
        <f aca="false">U8*MIN(1,Supuestos!$F$42*$G8)*MIN(1,Supuestos!$F$45*$H8)</f>
        <v>5872003.2</v>
      </c>
      <c r="W8" s="22" t="n">
        <f aca="false">U8*Supuestos!$F$48*$F8*(Supuestos!$F$7/Supuestos!$F$8*Supuestos!$F$9*$M8)+V8*(Supuestos!$F$7/Supuestos!$F$6)*(((1-Supuestos!$F$22)*Supuestos!$F$19+Supuestos!$F$22*Supuestos!$F$21)-((1-MIN(1,Supuestos!$F$51*$N8))*Supuestos!$F$19+MIN(1,Supuestos!$F$51*$N8)*Supuestos!$F$20))+V8*Supuestos!$F$23/60*Supuestos!$F$24*MIN(1,Supuestos!$F$54*$L8)</f>
        <v>1219418.04348</v>
      </c>
      <c r="X8" s="22" t="n">
        <f aca="false">((Supuestos!$F$35)+(Supuestos!$F$36))/2*Supuestos!$F$13*Supuestos!$F$18*12+V8*Supuestos!$F$25+V8*Supuestos!$F$57*$J8*(Supuestos!$F$26*(Supuestos!$F$7/Supuestos!$F$6)+Supuestos!$F$27)+V8*Supuestos!$F$28*Supuestos!$F$29+(Supuestos!$F$60+Supuestos!$F$63)*$K8</f>
        <v>2225344.3264</v>
      </c>
      <c r="Y8" s="22" t="n">
        <f aca="false">(Supuestos!$F$36-Supuestos!$F$35)*Supuestos!$F$13*Supuestos!$F$14*$I8*(1+Supuestos!$F$15)+MIN(Supuestos!$F$36-Supuestos!$F$35,Supuestos!$F$39)*Supuestos!$F$17+((Supuestos!$F$36-Supuestos!$F$35)-MIN(Supuestos!$F$36-Supuestos!$F$35,Supuestos!$F$39))*Supuestos!$F$16</f>
        <v>1956800</v>
      </c>
      <c r="Z8" s="22" t="n">
        <f aca="false">W8-X8-Y8</f>
        <v>-2962726.28292</v>
      </c>
      <c r="AA8" s="22" t="n">
        <f aca="false">((Supuestos!$F$36)+(Supuestos!$F$37))/2*Supuestos!$F$10*Supuestos!$F$11*Supuestos!$F$12*$E8</f>
        <v>36217125</v>
      </c>
      <c r="AB8" s="22" t="n">
        <f aca="false">AA8*MIN(1,Supuestos!$F$43*$G8)*MIN(1,Supuestos!$F$46*$H8)</f>
        <v>11589480</v>
      </c>
      <c r="AC8" s="22" t="n">
        <f aca="false">AA8*Supuestos!$F$49*$F8*(Supuestos!$F$7/Supuestos!$F$8*Supuestos!$F$9*$M8)+AB8*(Supuestos!$F$7/Supuestos!$F$6)*(((1-Supuestos!$F$22)*Supuestos!$F$19+Supuestos!$F$22*Supuestos!$F$21)-((1-MIN(1,Supuestos!$F$52*$N8))*Supuestos!$F$19+MIN(1,Supuestos!$F$52*$N8)*Supuestos!$F$20))+AB8*Supuestos!$F$23/60*Supuestos!$F$24*MIN(1,Supuestos!$F$55*$L8)</f>
        <v>3662524.67273437</v>
      </c>
      <c r="AD8" s="22" t="n">
        <f aca="false">((Supuestos!$F$36)+(Supuestos!$F$37))/2*Supuestos!$F$13*Supuestos!$F$18*12+AB8*Supuestos!$F$25+AB8*Supuestos!$F$58*$J8*(Supuestos!$F$26*(Supuestos!$F$7/Supuestos!$F$6)+Supuestos!$F$27)+AB8*Supuestos!$F$28*Supuestos!$F$29+(Supuestos!$F$61+Supuestos!$F$64)*$K8</f>
        <v>2735827.928</v>
      </c>
      <c r="AE8" s="22" t="n">
        <f aca="false">(Supuestos!$F$37-Supuestos!$F$36)*Supuestos!$F$13*Supuestos!$F$14*$I8*(1+Supuestos!$F$15)+MIN(Supuestos!$F$37-Supuestos!$F$36,Supuestos!$F$40)*Supuestos!$F$17+((Supuestos!$F$37-Supuestos!$F$36)-MIN(Supuestos!$F$37-Supuestos!$F$36,Supuestos!$F$40))*Supuestos!$F$16</f>
        <v>1223000</v>
      </c>
      <c r="AF8" s="22" t="n">
        <f aca="false">AC8-AD8-AE8</f>
        <v>-296303.255265626</v>
      </c>
      <c r="AG8" s="22" t="n">
        <f aca="false">((Supuestos!$F$37)+(Supuestos!$F$37))/2*Supuestos!$F$10*Supuestos!$F$11*Supuestos!$F$12*$E8</f>
        <v>40241250</v>
      </c>
      <c r="AH8" s="22" t="n">
        <f aca="false">AG8*MIN(1,Supuestos!$F$43*$G8)*MIN(1,Supuestos!$F$46*$H8)</f>
        <v>12877200</v>
      </c>
      <c r="AI8" s="22" t="n">
        <f aca="false">AG8*Supuestos!$F$49*$F8*(Supuestos!$F$7/Supuestos!$F$8*Supuestos!$F$9*$M8)+AH8*(Supuestos!$F$7/Supuestos!$F$6)*(((1-Supuestos!$F$22)*Supuestos!$F$19+Supuestos!$F$22*Supuestos!$F$21)-((1-MIN(1,Supuestos!$F$52*$N8))*Supuestos!$F$19+MIN(1,Supuestos!$F$52*$N8)*Supuestos!$F$20))+AH8*Supuestos!$F$23/60*Supuestos!$F$24*MIN(1,Supuestos!$F$55*$L8)</f>
        <v>4069471.85859375</v>
      </c>
      <c r="AJ8" s="22" t="n">
        <f aca="false">((Supuestos!$F$37)+(Supuestos!$F$37))/2*Supuestos!$F$13*Supuestos!$F$18*12+AH8*Supuestos!$F$25+AH8*Supuestos!$F$58*$J8*(Supuestos!$F$26*(Supuestos!$F$7/Supuestos!$F$6)+Supuestos!$F$27)+AH8*Supuestos!$F$28*Supuestos!$F$29+(Supuestos!$F$61+Supuestos!$F$64)*$K8</f>
        <v>2900919.92</v>
      </c>
      <c r="AK8" s="22" t="n">
        <f aca="false">0</f>
        <v>0</v>
      </c>
      <c r="AL8" s="22" t="n">
        <f aca="false">AI8-AJ8-AK8</f>
        <v>1168551.93859375</v>
      </c>
      <c r="AM8" s="22" t="n">
        <f aca="false">((Supuestos!$F$37)+(Supuestos!$F$37))/2*Supuestos!$F$10*Supuestos!$F$11*Supuestos!$F$12*$E8</f>
        <v>40241250</v>
      </c>
      <c r="AN8" s="22" t="n">
        <f aca="false">AM8*MIN(1,Supuestos!$F$43*$G8)*MIN(1,Supuestos!$F$46*$H8)</f>
        <v>12877200</v>
      </c>
      <c r="AO8" s="22" t="n">
        <f aca="false">AM8*Supuestos!$F$49*$F8*(Supuestos!$F$7/Supuestos!$F$8*Supuestos!$F$9*$M8)+AN8*(Supuestos!$F$7/Supuestos!$F$6)*(((1-Supuestos!$F$22)*Supuestos!$F$19+Supuestos!$F$22*Supuestos!$F$21)-((1-MIN(1,Supuestos!$F$52*$N8))*Supuestos!$F$19+MIN(1,Supuestos!$F$52*$N8)*Supuestos!$F$20))+AN8*Supuestos!$F$23/60*Supuestos!$F$24*MIN(1,Supuestos!$F$55*$L8)</f>
        <v>4069471.85859375</v>
      </c>
      <c r="AP8" s="22" t="n">
        <f aca="false">((Supuestos!$F$37)+(Supuestos!$F$37))/2*Supuestos!$F$13*Supuestos!$F$18*12+AN8*Supuestos!$F$25+AN8*Supuestos!$F$58*$J8*(Supuestos!$F$26*(Supuestos!$F$7/Supuestos!$F$6)+Supuestos!$F$27)+AN8*Supuestos!$F$28*Supuestos!$F$29+(Supuestos!$F$61+Supuestos!$F$64)*$K8</f>
        <v>2900919.92</v>
      </c>
      <c r="AQ8" s="22" t="n">
        <f aca="false">0</f>
        <v>0</v>
      </c>
      <c r="AR8" s="22" t="n">
        <f aca="false">AO8-AP8-AQ8</f>
        <v>1168551.93859375</v>
      </c>
    </row>
    <row r="9" customFormat="false" ht="15" hidden="false" customHeight="false" outlineLevel="0" collapsed="false">
      <c r="A9" s="7" t="s">
        <v>242</v>
      </c>
      <c r="B9" s="31" t="n">
        <f aca="false">NPV(Supuestos!$F$30,T9,Z9,AF9,AL9,AR9)</f>
        <v>-2619527.03079594</v>
      </c>
      <c r="C9" s="29" t="n">
        <f aca="false">B9-$B$5</f>
        <v>1054935.4347709</v>
      </c>
      <c r="D9" s="4"/>
      <c r="E9" s="44" t="n">
        <v>1</v>
      </c>
      <c r="F9" s="44" t="n">
        <v>1.25</v>
      </c>
      <c r="G9" s="44" t="n">
        <v>1</v>
      </c>
      <c r="H9" s="44" t="n">
        <v>1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22" t="n">
        <f aca="false">((Supuestos!$F$31)+(Supuestos!$F$35))/2*Supuestos!$F$10*Supuestos!$F$11*Supuestos!$F$12*$E9</f>
        <v>9899347.5</v>
      </c>
      <c r="P9" s="22" t="n">
        <f aca="false">O9*MIN(1,Supuestos!$F$41*$G9)*MIN(1,Supuestos!$F$44*$H9)</f>
        <v>1385908.65</v>
      </c>
      <c r="Q9" s="22" t="n">
        <f aca="false">O9*Supuestos!$F$47*$F9*(Supuestos!$F$7/Supuestos!$F$8*Supuestos!$F$9*$M9)+P9*(Supuestos!$F$7/Supuestos!$F$6)*(((1-Supuestos!$F$22)*Supuestos!$F$19+Supuestos!$F$22*Supuestos!$F$21)-((1-MIN(1,Supuestos!$F$50*$N9))*Supuestos!$F$19+MIN(1,Supuestos!$F$50*$N9)*Supuestos!$F$20))+P9*Supuestos!$F$23/60*Supuestos!$F$24*MIN(1,Supuestos!$F$53*$L9)</f>
        <v>171203.027920312</v>
      </c>
      <c r="R9" s="22" t="n">
        <f aca="false">((Supuestos!$F$31)+(Supuestos!$F$35))/2*Supuestos!$F$13*Supuestos!$F$18*12+P9*Supuestos!$F$25+P9*Supuestos!$F$56*$J9*(Supuestos!$F$26*(Supuestos!$F$7/Supuestos!$F$6)+Supuestos!$F$27)+P9*Supuestos!$F$28*Supuestos!$F$29+(Supuestos!$F$59+Supuestos!$F$62)*$K9</f>
        <v>1672536.21003</v>
      </c>
      <c r="S9" s="22" t="n">
        <f aca="false">(Supuestos!$F$35-Supuestos!$F$31)*Supuestos!$F$13*Supuestos!$F$14*$I9*(1+Supuestos!$F$15)+MIN(Supuestos!$F$35-Supuestos!$F$31,Supuestos!$F$38)*Supuestos!$F$17+((Supuestos!$F$35-Supuestos!$F$31)-MIN(Supuestos!$F$35-Supuestos!$F$31,Supuestos!$F$38))*Supuestos!$F$16</f>
        <v>2411820</v>
      </c>
      <c r="T9" s="22" t="n">
        <f aca="false">Q9-R9-S9</f>
        <v>-3913153.18210969</v>
      </c>
      <c r="U9" s="22" t="n">
        <f aca="false">((Supuestos!$F$35)+(Supuestos!$F$36))/2*Supuestos!$F$10*Supuestos!$F$11*Supuestos!$F$12*$E9</f>
        <v>25754400</v>
      </c>
      <c r="V9" s="22" t="n">
        <f aca="false">U9*MIN(1,Supuestos!$F$42*$G9)*MIN(1,Supuestos!$F$45*$H9)</f>
        <v>5872003.2</v>
      </c>
      <c r="W9" s="22" t="n">
        <f aca="false">U9*Supuestos!$F$48*$F9*(Supuestos!$F$7/Supuestos!$F$8*Supuestos!$F$9*$M9)+V9*(Supuestos!$F$7/Supuestos!$F$6)*(((1-Supuestos!$F$22)*Supuestos!$F$19+Supuestos!$F$22*Supuestos!$F$21)-((1-MIN(1,Supuestos!$F$51*$N9))*Supuestos!$F$19+MIN(1,Supuestos!$F$51*$N9)*Supuestos!$F$20))+V9*Supuestos!$F$23/60*Supuestos!$F$24*MIN(1,Supuestos!$F$54*$L9)</f>
        <v>1618289.31348</v>
      </c>
      <c r="X9" s="22" t="n">
        <f aca="false">((Supuestos!$F$35)+(Supuestos!$F$36))/2*Supuestos!$F$13*Supuestos!$F$18*12+V9*Supuestos!$F$25+V9*Supuestos!$F$57*$J9*(Supuestos!$F$26*(Supuestos!$F$7/Supuestos!$F$6)+Supuestos!$F$27)+V9*Supuestos!$F$28*Supuestos!$F$29+(Supuestos!$F$60+Supuestos!$F$63)*$K9</f>
        <v>2225344.3264</v>
      </c>
      <c r="Y9" s="22" t="n">
        <f aca="false">(Supuestos!$F$36-Supuestos!$F$35)*Supuestos!$F$13*Supuestos!$F$14*$I9*(1+Supuestos!$F$15)+MIN(Supuestos!$F$36-Supuestos!$F$35,Supuestos!$F$39)*Supuestos!$F$17+((Supuestos!$F$36-Supuestos!$F$35)-MIN(Supuestos!$F$36-Supuestos!$F$35,Supuestos!$F$39))*Supuestos!$F$16</f>
        <v>1956800</v>
      </c>
      <c r="Z9" s="22" t="n">
        <f aca="false">W9-X9-Y9</f>
        <v>-2563855.01292</v>
      </c>
      <c r="AA9" s="22" t="n">
        <f aca="false">((Supuestos!$F$36)+(Supuestos!$F$37))/2*Supuestos!$F$10*Supuestos!$F$11*Supuestos!$F$12*$E9</f>
        <v>36217125</v>
      </c>
      <c r="AB9" s="22" t="n">
        <f aca="false">AA9*MIN(1,Supuestos!$F$43*$G9)*MIN(1,Supuestos!$F$46*$H9)</f>
        <v>11589480</v>
      </c>
      <c r="AC9" s="22" t="n">
        <f aca="false">AA9*Supuestos!$F$49*$F9*(Supuestos!$F$7/Supuestos!$F$8*Supuestos!$F$9*$M9)+AB9*(Supuestos!$F$7/Supuestos!$F$6)*(((1-Supuestos!$F$22)*Supuestos!$F$19+Supuestos!$F$22*Supuestos!$F$21)-((1-MIN(1,Supuestos!$F$52*$N9))*Supuestos!$F$19+MIN(1,Supuestos!$F$52*$N9)*Supuestos!$F$20))+AB9*Supuestos!$F$23/60*Supuestos!$F$24*MIN(1,Supuestos!$F$55*$L9)</f>
        <v>4503893.75789063</v>
      </c>
      <c r="AD9" s="22" t="n">
        <f aca="false">((Supuestos!$F$36)+(Supuestos!$F$37))/2*Supuestos!$F$13*Supuestos!$F$18*12+AB9*Supuestos!$F$25+AB9*Supuestos!$F$58*$J9*(Supuestos!$F$26*(Supuestos!$F$7/Supuestos!$F$6)+Supuestos!$F$27)+AB9*Supuestos!$F$28*Supuestos!$F$29+(Supuestos!$F$61+Supuestos!$F$64)*$K9</f>
        <v>2735827.928</v>
      </c>
      <c r="AE9" s="22" t="n">
        <f aca="false">(Supuestos!$F$37-Supuestos!$F$36)*Supuestos!$F$13*Supuestos!$F$14*$I9*(1+Supuestos!$F$15)+MIN(Supuestos!$F$37-Supuestos!$F$36,Supuestos!$F$40)*Supuestos!$F$17+((Supuestos!$F$37-Supuestos!$F$36)-MIN(Supuestos!$F$37-Supuestos!$F$36,Supuestos!$F$40))*Supuestos!$F$16</f>
        <v>1223000</v>
      </c>
      <c r="AF9" s="22" t="n">
        <f aca="false">AC9-AD9-AE9</f>
        <v>545065.829890625</v>
      </c>
      <c r="AG9" s="22" t="n">
        <f aca="false">((Supuestos!$F$37)+(Supuestos!$F$37))/2*Supuestos!$F$10*Supuestos!$F$11*Supuestos!$F$12*$E9</f>
        <v>40241250</v>
      </c>
      <c r="AH9" s="22" t="n">
        <f aca="false">AG9*MIN(1,Supuestos!$F$43*$G9)*MIN(1,Supuestos!$F$46*$H9)</f>
        <v>12877200</v>
      </c>
      <c r="AI9" s="22" t="n">
        <f aca="false">AG9*Supuestos!$F$49*$F9*(Supuestos!$F$7/Supuestos!$F$8*Supuestos!$F$9*$M9)+AH9*(Supuestos!$F$7/Supuestos!$F$6)*(((1-Supuestos!$F$22)*Supuestos!$F$19+Supuestos!$F$22*Supuestos!$F$21)-((1-MIN(1,Supuestos!$F$52*$N9))*Supuestos!$F$19+MIN(1,Supuestos!$F$52*$N9)*Supuestos!$F$20))+AH9*Supuestos!$F$23/60*Supuestos!$F$24*MIN(1,Supuestos!$F$55*$L9)</f>
        <v>5004326.39765625</v>
      </c>
      <c r="AJ9" s="22" t="n">
        <f aca="false">((Supuestos!$F$37)+(Supuestos!$F$37))/2*Supuestos!$F$13*Supuestos!$F$18*12+AH9*Supuestos!$F$25+AH9*Supuestos!$F$58*$J9*(Supuestos!$F$26*(Supuestos!$F$7/Supuestos!$F$6)+Supuestos!$F$27)+AH9*Supuestos!$F$28*Supuestos!$F$29+(Supuestos!$F$61+Supuestos!$F$64)*$K9</f>
        <v>2900919.92</v>
      </c>
      <c r="AK9" s="22" t="n">
        <f aca="false">0</f>
        <v>0</v>
      </c>
      <c r="AL9" s="22" t="n">
        <f aca="false">AI9-AJ9-AK9</f>
        <v>2103406.47765625</v>
      </c>
      <c r="AM9" s="22" t="n">
        <f aca="false">((Supuestos!$F$37)+(Supuestos!$F$37))/2*Supuestos!$F$10*Supuestos!$F$11*Supuestos!$F$12*$E9</f>
        <v>40241250</v>
      </c>
      <c r="AN9" s="22" t="n">
        <f aca="false">AM9*MIN(1,Supuestos!$F$43*$G9)*MIN(1,Supuestos!$F$46*$H9)</f>
        <v>12877200</v>
      </c>
      <c r="AO9" s="22" t="n">
        <f aca="false">AM9*Supuestos!$F$49*$F9*(Supuestos!$F$7/Supuestos!$F$8*Supuestos!$F$9*$M9)+AN9*(Supuestos!$F$7/Supuestos!$F$6)*(((1-Supuestos!$F$22)*Supuestos!$F$19+Supuestos!$F$22*Supuestos!$F$21)-((1-MIN(1,Supuestos!$F$52*$N9))*Supuestos!$F$19+MIN(1,Supuestos!$F$52*$N9)*Supuestos!$F$20))+AN9*Supuestos!$F$23/60*Supuestos!$F$24*MIN(1,Supuestos!$F$55*$L9)</f>
        <v>5004326.39765625</v>
      </c>
      <c r="AP9" s="22" t="n">
        <f aca="false">((Supuestos!$F$37)+(Supuestos!$F$37))/2*Supuestos!$F$13*Supuestos!$F$18*12+AN9*Supuestos!$F$25+AN9*Supuestos!$F$58*$J9*(Supuestos!$F$26*(Supuestos!$F$7/Supuestos!$F$6)+Supuestos!$F$27)+AN9*Supuestos!$F$28*Supuestos!$F$29+(Supuestos!$F$61+Supuestos!$F$64)*$K9</f>
        <v>2900919.92</v>
      </c>
      <c r="AQ9" s="22" t="n">
        <f aca="false">0</f>
        <v>0</v>
      </c>
      <c r="AR9" s="22" t="n">
        <f aca="false">AO9-AP9-AQ9</f>
        <v>2103406.47765625</v>
      </c>
    </row>
    <row r="10" customFormat="false" ht="15" hidden="false" customHeight="false" outlineLevel="0" collapsed="false">
      <c r="A10" s="7" t="s">
        <v>243</v>
      </c>
      <c r="B10" s="31" t="n">
        <f aca="false">NPV(Supuestos!$F$30,T10,Z10,AF10,AL10,AR10)</f>
        <v>-4333764.81114741</v>
      </c>
      <c r="C10" s="29" t="n">
        <f aca="false">B10-$B$5</f>
        <v>-659302.345580558</v>
      </c>
      <c r="D10" s="4"/>
      <c r="E10" s="44" t="n">
        <v>1</v>
      </c>
      <c r="F10" s="44" t="n">
        <v>1</v>
      </c>
      <c r="G10" s="44" t="n">
        <v>0.75</v>
      </c>
      <c r="H10" s="44" t="n">
        <v>1</v>
      </c>
      <c r="I10" s="44" t="n">
        <v>1</v>
      </c>
      <c r="J10" s="44" t="n">
        <v>1</v>
      </c>
      <c r="K10" s="44" t="n">
        <v>1</v>
      </c>
      <c r="L10" s="44" t="n">
        <v>1</v>
      </c>
      <c r="M10" s="44" t="n">
        <v>1</v>
      </c>
      <c r="N10" s="44" t="n">
        <v>1</v>
      </c>
      <c r="O10" s="22" t="n">
        <f aca="false">((Supuestos!$F$31)+(Supuestos!$F$35))/2*Supuestos!$F$10*Supuestos!$F$11*Supuestos!$F$12*$E10</f>
        <v>9899347.5</v>
      </c>
      <c r="P10" s="22" t="n">
        <f aca="false">O10*MIN(1,Supuestos!$F$41*$G10)*MIN(1,Supuestos!$F$44*$H10)</f>
        <v>1039431.4875</v>
      </c>
      <c r="Q10" s="22" t="n">
        <f aca="false">O10*Supuestos!$F$47*$F10*(Supuestos!$F$7/Supuestos!$F$8*Supuestos!$F$9*$M10)+P10*(Supuestos!$F$7/Supuestos!$F$6)*(((1-Supuestos!$F$22)*Supuestos!$F$19+Supuestos!$F$22*Supuestos!$F$21)-((1-MIN(1,Supuestos!$F$50*$N10))*Supuestos!$F$19+MIN(1,Supuestos!$F$50*$N10)*Supuestos!$F$20))+P10*Supuestos!$F$23/60*Supuestos!$F$24*MIN(1,Supuestos!$F$53*$L10)</f>
        <v>137984.529965625</v>
      </c>
      <c r="R10" s="22" t="n">
        <f aca="false">((Supuestos!$F$31)+(Supuestos!$F$35))/2*Supuestos!$F$13*Supuestos!$F$18*12+P10*Supuestos!$F$25+P10*Supuestos!$F$56*$J10*(Supuestos!$F$26*(Supuestos!$F$7/Supuestos!$F$6)+Supuestos!$F$27)+P10*Supuestos!$F$28*Supuestos!$F$29+(Supuestos!$F$59+Supuestos!$F$62)*$K10</f>
        <v>1623267.1575225</v>
      </c>
      <c r="S10" s="22" t="n">
        <f aca="false">(Supuestos!$F$35-Supuestos!$F$31)*Supuestos!$F$13*Supuestos!$F$14*$I10*(1+Supuestos!$F$15)+MIN(Supuestos!$F$35-Supuestos!$F$31,Supuestos!$F$38)*Supuestos!$F$17+((Supuestos!$F$35-Supuestos!$F$31)-MIN(Supuestos!$F$35-Supuestos!$F$31,Supuestos!$F$38))*Supuestos!$F$16</f>
        <v>2411820</v>
      </c>
      <c r="T10" s="22" t="n">
        <f aca="false">Q10-R10-S10</f>
        <v>-3897102.62755688</v>
      </c>
      <c r="U10" s="22" t="n">
        <f aca="false">((Supuestos!$F$35)+(Supuestos!$F$36))/2*Supuestos!$F$10*Supuestos!$F$11*Supuestos!$F$12*$E10</f>
        <v>25754400</v>
      </c>
      <c r="V10" s="22" t="n">
        <f aca="false">U10*MIN(1,Supuestos!$F$42*$G10)*MIN(1,Supuestos!$F$45*$H10)</f>
        <v>4404002.4</v>
      </c>
      <c r="W10" s="22" t="n">
        <f aca="false">U10*Supuestos!$F$48*$F10*(Supuestos!$F$7/Supuestos!$F$8*Supuestos!$F$9*$M10)+V10*(Supuestos!$F$7/Supuestos!$F$6)*(((1-Supuestos!$F$22)*Supuestos!$F$19+Supuestos!$F$22*Supuestos!$F$21)-((1-MIN(1,Supuestos!$F$51*$N10))*Supuestos!$F$19+MIN(1,Supuestos!$F$51*$N10)*Supuestos!$F$20))+V10*Supuestos!$F$23/60*Supuestos!$F$24*MIN(1,Supuestos!$F$54*$L10)</f>
        <v>1263575.89386</v>
      </c>
      <c r="X10" s="22" t="n">
        <f aca="false">((Supuestos!$F$35)+(Supuestos!$F$36))/2*Supuestos!$F$13*Supuestos!$F$18*12+V10*Supuestos!$F$25+V10*Supuestos!$F$57*$J10*(Supuestos!$F$26*(Supuestos!$F$7/Supuestos!$F$6)+Supuestos!$F$27)+V10*Supuestos!$F$28*Supuestos!$F$29+(Supuestos!$F$60+Supuestos!$F$63)*$K10</f>
        <v>2075608.2448</v>
      </c>
      <c r="Y10" s="22" t="n">
        <f aca="false">(Supuestos!$F$36-Supuestos!$F$35)*Supuestos!$F$13*Supuestos!$F$14*$I10*(1+Supuestos!$F$15)+MIN(Supuestos!$F$36-Supuestos!$F$35,Supuestos!$F$39)*Supuestos!$F$17+((Supuestos!$F$36-Supuestos!$F$35)-MIN(Supuestos!$F$36-Supuestos!$F$35,Supuestos!$F$39))*Supuestos!$F$16</f>
        <v>1956800</v>
      </c>
      <c r="Z10" s="22" t="n">
        <f aca="false">W10-X10-Y10</f>
        <v>-2768832.35094</v>
      </c>
      <c r="AA10" s="22" t="n">
        <f aca="false">((Supuestos!$F$36)+(Supuestos!$F$37))/2*Supuestos!$F$10*Supuestos!$F$11*Supuestos!$F$12*$E10</f>
        <v>36217125</v>
      </c>
      <c r="AB10" s="22" t="n">
        <f aca="false">AA10*MIN(1,Supuestos!$F$43*$G10)*MIN(1,Supuestos!$F$46*$H10)</f>
        <v>8692110</v>
      </c>
      <c r="AC10" s="22" t="n">
        <f aca="false">AA10*Supuestos!$F$49*$F10*(Supuestos!$F$7/Supuestos!$F$8*Supuestos!$F$9*$M10)+AB10*(Supuestos!$F$7/Supuestos!$F$6)*(((1-Supuestos!$F$22)*Supuestos!$F$19+Supuestos!$F$22*Supuestos!$F$21)-((1-MIN(1,Supuestos!$F$52*$N10))*Supuestos!$F$19+MIN(1,Supuestos!$F$52*$N10)*Supuestos!$F$20))+AB10*Supuestos!$F$23/60*Supuestos!$F$24*MIN(1,Supuestos!$F$55*$L10)</f>
        <v>3483091.4540625</v>
      </c>
      <c r="AD10" s="22" t="n">
        <f aca="false">((Supuestos!$F$36)+(Supuestos!$F$37))/2*Supuestos!$F$13*Supuestos!$F$18*12+AB10*Supuestos!$F$25+AB10*Supuestos!$F$58*$J10*(Supuestos!$F$26*(Supuestos!$F$7/Supuestos!$F$6)+Supuestos!$F$27)+AB10*Supuestos!$F$28*Supuestos!$F$29+(Supuestos!$F$61+Supuestos!$F$64)*$K10</f>
        <v>2479120.946</v>
      </c>
      <c r="AE10" s="22" t="n">
        <f aca="false">(Supuestos!$F$37-Supuestos!$F$36)*Supuestos!$F$13*Supuestos!$F$14*$I10*(1+Supuestos!$F$15)+MIN(Supuestos!$F$37-Supuestos!$F$36,Supuestos!$F$40)*Supuestos!$F$17+((Supuestos!$F$37-Supuestos!$F$36)-MIN(Supuestos!$F$37-Supuestos!$F$36,Supuestos!$F$40))*Supuestos!$F$16</f>
        <v>1223000</v>
      </c>
      <c r="AF10" s="22" t="n">
        <f aca="false">AC10-AD10-AE10</f>
        <v>-219029.4919375</v>
      </c>
      <c r="AG10" s="22" t="n">
        <f aca="false">((Supuestos!$F$37)+(Supuestos!$F$37))/2*Supuestos!$F$10*Supuestos!$F$11*Supuestos!$F$12*$E10</f>
        <v>40241250</v>
      </c>
      <c r="AH10" s="22" t="n">
        <f aca="false">AG10*MIN(1,Supuestos!$F$43*$G10)*MIN(1,Supuestos!$F$46*$H10)</f>
        <v>9657900</v>
      </c>
      <c r="AI10" s="22" t="n">
        <f aca="false">AG10*Supuestos!$F$49*$F10*(Supuestos!$F$7/Supuestos!$F$8*Supuestos!$F$9*$M10)+AH10*(Supuestos!$F$7/Supuestos!$F$6)*(((1-Supuestos!$F$22)*Supuestos!$F$19+Supuestos!$F$22*Supuestos!$F$21)-((1-MIN(1,Supuestos!$F$52*$N10))*Supuestos!$F$19+MIN(1,Supuestos!$F$52*$N10)*Supuestos!$F$20))+AH10*Supuestos!$F$23/60*Supuestos!$F$24*MIN(1,Supuestos!$F$55*$L10)</f>
        <v>3870101.615625</v>
      </c>
      <c r="AJ10" s="22" t="n">
        <f aca="false">((Supuestos!$F$37)+(Supuestos!$F$37))/2*Supuestos!$F$13*Supuestos!$F$18*12+AH10*Supuestos!$F$25+AH10*Supuestos!$F$58*$J10*(Supuestos!$F$26*(Supuestos!$F$7/Supuestos!$F$6)+Supuestos!$F$27)+AH10*Supuestos!$F$28*Supuestos!$F$29+(Supuestos!$F$61+Supuestos!$F$64)*$K10</f>
        <v>2615689.94</v>
      </c>
      <c r="AK10" s="22" t="n">
        <f aca="false">0</f>
        <v>0</v>
      </c>
      <c r="AL10" s="22" t="n">
        <f aca="false">AI10-AJ10-AK10</f>
        <v>1254411.675625</v>
      </c>
      <c r="AM10" s="22" t="n">
        <f aca="false">((Supuestos!$F$37)+(Supuestos!$F$37))/2*Supuestos!$F$10*Supuestos!$F$11*Supuestos!$F$12*$E10</f>
        <v>40241250</v>
      </c>
      <c r="AN10" s="22" t="n">
        <f aca="false">AM10*MIN(1,Supuestos!$F$43*$G10)*MIN(1,Supuestos!$F$46*$H10)</f>
        <v>9657900</v>
      </c>
      <c r="AO10" s="22" t="n">
        <f aca="false">AM10*Supuestos!$F$49*$F10*(Supuestos!$F$7/Supuestos!$F$8*Supuestos!$F$9*$M10)+AN10*(Supuestos!$F$7/Supuestos!$F$6)*(((1-Supuestos!$F$22)*Supuestos!$F$19+Supuestos!$F$22*Supuestos!$F$21)-((1-MIN(1,Supuestos!$F$52*$N10))*Supuestos!$F$19+MIN(1,Supuestos!$F$52*$N10)*Supuestos!$F$20))+AN10*Supuestos!$F$23/60*Supuestos!$F$24*MIN(1,Supuestos!$F$55*$L10)</f>
        <v>3870101.615625</v>
      </c>
      <c r="AP10" s="22" t="n">
        <f aca="false">((Supuestos!$F$37)+(Supuestos!$F$37))/2*Supuestos!$F$13*Supuestos!$F$18*12+AN10*Supuestos!$F$25+AN10*Supuestos!$F$58*$J10*(Supuestos!$F$26*(Supuestos!$F$7/Supuestos!$F$6)+Supuestos!$F$27)+AN10*Supuestos!$F$28*Supuestos!$F$29+(Supuestos!$F$61+Supuestos!$F$64)*$K10</f>
        <v>2615689.94</v>
      </c>
      <c r="AQ10" s="22" t="n">
        <f aca="false">0</f>
        <v>0</v>
      </c>
      <c r="AR10" s="22" t="n">
        <f aca="false">AO10-AP10-AQ10</f>
        <v>1254411.675625</v>
      </c>
    </row>
    <row r="11" customFormat="false" ht="15" hidden="false" customHeight="false" outlineLevel="0" collapsed="false">
      <c r="A11" s="7" t="s">
        <v>244</v>
      </c>
      <c r="B11" s="31" t="n">
        <f aca="false">NPV(Supuestos!$F$30,T11,Z11,AF11,AL11,AR11)</f>
        <v>-3015160.11998629</v>
      </c>
      <c r="C11" s="29" t="n">
        <f aca="false">B11-$B$5</f>
        <v>659302.345580557</v>
      </c>
      <c r="D11" s="4"/>
      <c r="E11" s="44" t="n">
        <v>1</v>
      </c>
      <c r="F11" s="44" t="n">
        <v>1</v>
      </c>
      <c r="G11" s="44" t="n">
        <v>1.25</v>
      </c>
      <c r="H11" s="44" t="n">
        <v>1</v>
      </c>
      <c r="I11" s="44" t="n">
        <v>1</v>
      </c>
      <c r="J11" s="44" t="n">
        <v>1</v>
      </c>
      <c r="K11" s="44" t="n">
        <v>1</v>
      </c>
      <c r="L11" s="44" t="n">
        <v>1</v>
      </c>
      <c r="M11" s="44" t="n">
        <v>1</v>
      </c>
      <c r="N11" s="44" t="n">
        <v>1</v>
      </c>
      <c r="O11" s="22" t="n">
        <f aca="false">((Supuestos!$F$31)+(Supuestos!$F$35))/2*Supuestos!$F$10*Supuestos!$F$11*Supuestos!$F$12*$E11</f>
        <v>9899347.5</v>
      </c>
      <c r="P11" s="22" t="n">
        <f aca="false">O11*MIN(1,Supuestos!$F$41*$G11)*MIN(1,Supuestos!$F$44*$H11)</f>
        <v>1732385.8125</v>
      </c>
      <c r="Q11" s="22" t="n">
        <f aca="false">O11*Supuestos!$F$47*$F11*(Supuestos!$F$7/Supuestos!$F$8*Supuestos!$F$9*$M11)+P11*(Supuestos!$F$7/Supuestos!$F$6)*(((1-Supuestos!$F$22)*Supuestos!$F$19+Supuestos!$F$22*Supuestos!$F$21)-((1-MIN(1,Supuestos!$F$50*$N11))*Supuestos!$F$19+MIN(1,Supuestos!$F$50*$N11)*Supuestos!$F$20))+P11*Supuestos!$F$23/60*Supuestos!$F$24*MIN(1,Supuestos!$F$53*$L11)</f>
        <v>127763.453671875</v>
      </c>
      <c r="R11" s="22" t="n">
        <f aca="false">((Supuestos!$F$31)+(Supuestos!$F$35))/2*Supuestos!$F$13*Supuestos!$F$18*12+P11*Supuestos!$F$25+P11*Supuestos!$F$56*$J11*(Supuestos!$F$26*(Supuestos!$F$7/Supuestos!$F$6)+Supuestos!$F$27)+P11*Supuestos!$F$28*Supuestos!$F$29+(Supuestos!$F$59+Supuestos!$F$62)*$K11</f>
        <v>1721805.2625375</v>
      </c>
      <c r="S11" s="22" t="n">
        <f aca="false">(Supuestos!$F$35-Supuestos!$F$31)*Supuestos!$F$13*Supuestos!$F$14*$I11*(1+Supuestos!$F$15)+MIN(Supuestos!$F$35-Supuestos!$F$31,Supuestos!$F$38)*Supuestos!$F$17+((Supuestos!$F$35-Supuestos!$F$31)-MIN(Supuestos!$F$35-Supuestos!$F$31,Supuestos!$F$38))*Supuestos!$F$16</f>
        <v>2411820</v>
      </c>
      <c r="T11" s="22" t="n">
        <f aca="false">Q11-R11-S11</f>
        <v>-4005861.80886563</v>
      </c>
      <c r="U11" s="22" t="n">
        <f aca="false">((Supuestos!$F$35)+(Supuestos!$F$36))/2*Supuestos!$F$10*Supuestos!$F$11*Supuestos!$F$12*$E11</f>
        <v>25754400</v>
      </c>
      <c r="V11" s="22" t="n">
        <f aca="false">U11*MIN(1,Supuestos!$F$42*$G11)*MIN(1,Supuestos!$F$45*$H11)</f>
        <v>7340004</v>
      </c>
      <c r="W11" s="22" t="n">
        <f aca="false">U11*Supuestos!$F$48*$F11*(Supuestos!$F$7/Supuestos!$F$8*Supuestos!$F$9*$M11)+V11*(Supuestos!$F$7/Supuestos!$F$6)*(((1-Supuestos!$F$22)*Supuestos!$F$19+Supuestos!$F$22*Supuestos!$F$21)-((1-MIN(1,Supuestos!$F$51*$N11))*Supuestos!$F$19+MIN(1,Supuestos!$F$51*$N11)*Supuestos!$F$20))+V11*Supuestos!$F$23/60*Supuestos!$F$24*MIN(1,Supuestos!$F$54*$L11)</f>
        <v>1574131.4631</v>
      </c>
      <c r="X11" s="22" t="n">
        <f aca="false">((Supuestos!$F$35)+(Supuestos!$F$36))/2*Supuestos!$F$13*Supuestos!$F$18*12+V11*Supuestos!$F$25+V11*Supuestos!$F$57*$J11*(Supuestos!$F$26*(Supuestos!$F$7/Supuestos!$F$6)+Supuestos!$F$27)+V11*Supuestos!$F$28*Supuestos!$F$29+(Supuestos!$F$60+Supuestos!$F$63)*$K11</f>
        <v>2375080.408</v>
      </c>
      <c r="Y11" s="22" t="n">
        <f aca="false">(Supuestos!$F$36-Supuestos!$F$35)*Supuestos!$F$13*Supuestos!$F$14*$I11*(1+Supuestos!$F$15)+MIN(Supuestos!$F$36-Supuestos!$F$35,Supuestos!$F$39)*Supuestos!$F$17+((Supuestos!$F$36-Supuestos!$F$35)-MIN(Supuestos!$F$36-Supuestos!$F$35,Supuestos!$F$39))*Supuestos!$F$16</f>
        <v>1956800</v>
      </c>
      <c r="Z11" s="22" t="n">
        <f aca="false">W11-X11-Y11</f>
        <v>-2757748.9449</v>
      </c>
      <c r="AA11" s="22" t="n">
        <f aca="false">((Supuestos!$F$36)+(Supuestos!$F$37))/2*Supuestos!$F$10*Supuestos!$F$11*Supuestos!$F$12*$E11</f>
        <v>36217125</v>
      </c>
      <c r="AB11" s="22" t="n">
        <f aca="false">AA11*MIN(1,Supuestos!$F$43*$G11)*MIN(1,Supuestos!$F$46*$H11)</f>
        <v>14486850</v>
      </c>
      <c r="AC11" s="22" t="n">
        <f aca="false">AA11*Supuestos!$F$49*$F11*(Supuestos!$F$7/Supuestos!$F$8*Supuestos!$F$9*$M11)+AB11*(Supuestos!$F$7/Supuestos!$F$6)*(((1-Supuestos!$F$22)*Supuestos!$F$19+Supuestos!$F$22*Supuestos!$F$21)-((1-MIN(1,Supuestos!$F$52*$N11))*Supuestos!$F$19+MIN(1,Supuestos!$F$52*$N11)*Supuestos!$F$20))+AB11*Supuestos!$F$23/60*Supuestos!$F$24*MIN(1,Supuestos!$F$55*$L11)</f>
        <v>4683326.9765625</v>
      </c>
      <c r="AD11" s="22" t="n">
        <f aca="false">((Supuestos!$F$36)+(Supuestos!$F$37))/2*Supuestos!$F$13*Supuestos!$F$18*12+AB11*Supuestos!$F$25+AB11*Supuestos!$F$58*$J11*(Supuestos!$F$26*(Supuestos!$F$7/Supuestos!$F$6)+Supuestos!$F$27)+AB11*Supuestos!$F$28*Supuestos!$F$29+(Supuestos!$F$61+Supuestos!$F$64)*$K11</f>
        <v>2992534.91</v>
      </c>
      <c r="AE11" s="22" t="n">
        <f aca="false">(Supuestos!$F$37-Supuestos!$F$36)*Supuestos!$F$13*Supuestos!$F$14*$I11*(1+Supuestos!$F$15)+MIN(Supuestos!$F$37-Supuestos!$F$36,Supuestos!$F$40)*Supuestos!$F$17+((Supuestos!$F$37-Supuestos!$F$36)-MIN(Supuestos!$F$37-Supuestos!$F$36,Supuestos!$F$40))*Supuestos!$F$16</f>
        <v>1223000</v>
      </c>
      <c r="AF11" s="22" t="n">
        <f aca="false">AC11-AD11-AE11</f>
        <v>467792.066562499</v>
      </c>
      <c r="AG11" s="22" t="n">
        <f aca="false">((Supuestos!$F$37)+(Supuestos!$F$37))/2*Supuestos!$F$10*Supuestos!$F$11*Supuestos!$F$12*$E11</f>
        <v>40241250</v>
      </c>
      <c r="AH11" s="22" t="n">
        <f aca="false">AG11*MIN(1,Supuestos!$F$43*$G11)*MIN(1,Supuestos!$F$46*$H11)</f>
        <v>16096500</v>
      </c>
      <c r="AI11" s="22" t="n">
        <f aca="false">AG11*Supuestos!$F$49*$F11*(Supuestos!$F$7/Supuestos!$F$8*Supuestos!$F$9*$M11)+AH11*(Supuestos!$F$7/Supuestos!$F$6)*(((1-Supuestos!$F$22)*Supuestos!$F$19+Supuestos!$F$22*Supuestos!$F$21)-((1-MIN(1,Supuestos!$F$52*$N11))*Supuestos!$F$19+MIN(1,Supuestos!$F$52*$N11)*Supuestos!$F$20))+AH11*Supuestos!$F$23/60*Supuestos!$F$24*MIN(1,Supuestos!$F$55*$L11)</f>
        <v>5203696.640625</v>
      </c>
      <c r="AJ11" s="22" t="n">
        <f aca="false">((Supuestos!$F$37)+(Supuestos!$F$37))/2*Supuestos!$F$13*Supuestos!$F$18*12+AH11*Supuestos!$F$25+AH11*Supuestos!$F$58*$J11*(Supuestos!$F$26*(Supuestos!$F$7/Supuestos!$F$6)+Supuestos!$F$27)+AH11*Supuestos!$F$28*Supuestos!$F$29+(Supuestos!$F$61+Supuestos!$F$64)*$K11</f>
        <v>3186149.9</v>
      </c>
      <c r="AK11" s="22" t="n">
        <f aca="false">0</f>
        <v>0</v>
      </c>
      <c r="AL11" s="22" t="n">
        <f aca="false">AI11-AJ11-AK11</f>
        <v>2017546.740625</v>
      </c>
      <c r="AM11" s="22" t="n">
        <f aca="false">((Supuestos!$F$37)+(Supuestos!$F$37))/2*Supuestos!$F$10*Supuestos!$F$11*Supuestos!$F$12*$E11</f>
        <v>40241250</v>
      </c>
      <c r="AN11" s="22" t="n">
        <f aca="false">AM11*MIN(1,Supuestos!$F$43*$G11)*MIN(1,Supuestos!$F$46*$H11)</f>
        <v>16096500</v>
      </c>
      <c r="AO11" s="22" t="n">
        <f aca="false">AM11*Supuestos!$F$49*$F11*(Supuestos!$F$7/Supuestos!$F$8*Supuestos!$F$9*$M11)+AN11*(Supuestos!$F$7/Supuestos!$F$6)*(((1-Supuestos!$F$22)*Supuestos!$F$19+Supuestos!$F$22*Supuestos!$F$21)-((1-MIN(1,Supuestos!$F$52*$N11))*Supuestos!$F$19+MIN(1,Supuestos!$F$52*$N11)*Supuestos!$F$20))+AN11*Supuestos!$F$23/60*Supuestos!$F$24*MIN(1,Supuestos!$F$55*$L11)</f>
        <v>5203696.640625</v>
      </c>
      <c r="AP11" s="22" t="n">
        <f aca="false">((Supuestos!$F$37)+(Supuestos!$F$37))/2*Supuestos!$F$13*Supuestos!$F$18*12+AN11*Supuestos!$F$25+AN11*Supuestos!$F$58*$J11*(Supuestos!$F$26*(Supuestos!$F$7/Supuestos!$F$6)+Supuestos!$F$27)+AN11*Supuestos!$F$28*Supuestos!$F$29+(Supuestos!$F$61+Supuestos!$F$64)*$K11</f>
        <v>3186149.9</v>
      </c>
      <c r="AQ11" s="22" t="n">
        <f aca="false">0</f>
        <v>0</v>
      </c>
      <c r="AR11" s="22" t="n">
        <f aca="false">AO11-AP11-AQ11</f>
        <v>2017546.740625</v>
      </c>
    </row>
    <row r="12" customFormat="false" ht="15" hidden="false" customHeight="false" outlineLevel="0" collapsed="false">
      <c r="A12" s="7" t="s">
        <v>245</v>
      </c>
      <c r="B12" s="31" t="n">
        <f aca="false">NPV(Supuestos!$F$30,T12,Z12,AF12,AL12,AR12)</f>
        <v>-4333764.81114741</v>
      </c>
      <c r="C12" s="29" t="n">
        <f aca="false">B12-$B$5</f>
        <v>-659302.345580558</v>
      </c>
      <c r="D12" s="4"/>
      <c r="E12" s="44" t="n">
        <v>1</v>
      </c>
      <c r="F12" s="44" t="n">
        <v>1</v>
      </c>
      <c r="G12" s="44" t="n">
        <v>1</v>
      </c>
      <c r="H12" s="44" t="n">
        <v>0.75</v>
      </c>
      <c r="I12" s="44" t="n">
        <v>1</v>
      </c>
      <c r="J12" s="44" t="n">
        <v>1</v>
      </c>
      <c r="K12" s="44" t="n">
        <v>1</v>
      </c>
      <c r="L12" s="44" t="n">
        <v>1</v>
      </c>
      <c r="M12" s="44" t="n">
        <v>1</v>
      </c>
      <c r="N12" s="44" t="n">
        <v>1</v>
      </c>
      <c r="O12" s="22" t="n">
        <f aca="false">((Supuestos!$F$31)+(Supuestos!$F$35))/2*Supuestos!$F$10*Supuestos!$F$11*Supuestos!$F$12*$E12</f>
        <v>9899347.5</v>
      </c>
      <c r="P12" s="22" t="n">
        <f aca="false">O12*MIN(1,Supuestos!$F$41*$G12)*MIN(1,Supuestos!$F$44*$H12)</f>
        <v>1039431.4875</v>
      </c>
      <c r="Q12" s="22" t="n">
        <f aca="false">O12*Supuestos!$F$47*$F12*(Supuestos!$F$7/Supuestos!$F$8*Supuestos!$F$9*$M12)+P12*(Supuestos!$F$7/Supuestos!$F$6)*(((1-Supuestos!$F$22)*Supuestos!$F$19+Supuestos!$F$22*Supuestos!$F$21)-((1-MIN(1,Supuestos!$F$50*$N12))*Supuestos!$F$19+MIN(1,Supuestos!$F$50*$N12)*Supuestos!$F$20))+P12*Supuestos!$F$23/60*Supuestos!$F$24*MIN(1,Supuestos!$F$53*$L12)</f>
        <v>137984.529965625</v>
      </c>
      <c r="R12" s="22" t="n">
        <f aca="false">((Supuestos!$F$31)+(Supuestos!$F$35))/2*Supuestos!$F$13*Supuestos!$F$18*12+P12*Supuestos!$F$25+P12*Supuestos!$F$56*$J12*(Supuestos!$F$26*(Supuestos!$F$7/Supuestos!$F$6)+Supuestos!$F$27)+P12*Supuestos!$F$28*Supuestos!$F$29+(Supuestos!$F$59+Supuestos!$F$62)*$K12</f>
        <v>1623267.1575225</v>
      </c>
      <c r="S12" s="22" t="n">
        <f aca="false">(Supuestos!$F$35-Supuestos!$F$31)*Supuestos!$F$13*Supuestos!$F$14*$I12*(1+Supuestos!$F$15)+MIN(Supuestos!$F$35-Supuestos!$F$31,Supuestos!$F$38)*Supuestos!$F$17+((Supuestos!$F$35-Supuestos!$F$31)-MIN(Supuestos!$F$35-Supuestos!$F$31,Supuestos!$F$38))*Supuestos!$F$16</f>
        <v>2411820</v>
      </c>
      <c r="T12" s="22" t="n">
        <f aca="false">Q12-R12-S12</f>
        <v>-3897102.62755688</v>
      </c>
      <c r="U12" s="22" t="n">
        <f aca="false">((Supuestos!$F$35)+(Supuestos!$F$36))/2*Supuestos!$F$10*Supuestos!$F$11*Supuestos!$F$12*$E12</f>
        <v>25754400</v>
      </c>
      <c r="V12" s="22" t="n">
        <f aca="false">U12*MIN(1,Supuestos!$F$42*$G12)*MIN(1,Supuestos!$F$45*$H12)</f>
        <v>4404002.4</v>
      </c>
      <c r="W12" s="22" t="n">
        <f aca="false">U12*Supuestos!$F$48*$F12*(Supuestos!$F$7/Supuestos!$F$8*Supuestos!$F$9*$M12)+V12*(Supuestos!$F$7/Supuestos!$F$6)*(((1-Supuestos!$F$22)*Supuestos!$F$19+Supuestos!$F$22*Supuestos!$F$21)-((1-MIN(1,Supuestos!$F$51*$N12))*Supuestos!$F$19+MIN(1,Supuestos!$F$51*$N12)*Supuestos!$F$20))+V12*Supuestos!$F$23/60*Supuestos!$F$24*MIN(1,Supuestos!$F$54*$L12)</f>
        <v>1263575.89386</v>
      </c>
      <c r="X12" s="22" t="n">
        <f aca="false">((Supuestos!$F$35)+(Supuestos!$F$36))/2*Supuestos!$F$13*Supuestos!$F$18*12+V12*Supuestos!$F$25+V12*Supuestos!$F$57*$J12*(Supuestos!$F$26*(Supuestos!$F$7/Supuestos!$F$6)+Supuestos!$F$27)+V12*Supuestos!$F$28*Supuestos!$F$29+(Supuestos!$F$60+Supuestos!$F$63)*$K12</f>
        <v>2075608.2448</v>
      </c>
      <c r="Y12" s="22" t="n">
        <f aca="false">(Supuestos!$F$36-Supuestos!$F$35)*Supuestos!$F$13*Supuestos!$F$14*$I12*(1+Supuestos!$F$15)+MIN(Supuestos!$F$36-Supuestos!$F$35,Supuestos!$F$39)*Supuestos!$F$17+((Supuestos!$F$36-Supuestos!$F$35)-MIN(Supuestos!$F$36-Supuestos!$F$35,Supuestos!$F$39))*Supuestos!$F$16</f>
        <v>1956800</v>
      </c>
      <c r="Z12" s="22" t="n">
        <f aca="false">W12-X12-Y12</f>
        <v>-2768832.35094</v>
      </c>
      <c r="AA12" s="22" t="n">
        <f aca="false">((Supuestos!$F$36)+(Supuestos!$F$37))/2*Supuestos!$F$10*Supuestos!$F$11*Supuestos!$F$12*$E12</f>
        <v>36217125</v>
      </c>
      <c r="AB12" s="22" t="n">
        <f aca="false">AA12*MIN(1,Supuestos!$F$43*$G12)*MIN(1,Supuestos!$F$46*$H12)</f>
        <v>8692110</v>
      </c>
      <c r="AC12" s="22" t="n">
        <f aca="false">AA12*Supuestos!$F$49*$F12*(Supuestos!$F$7/Supuestos!$F$8*Supuestos!$F$9*$M12)+AB12*(Supuestos!$F$7/Supuestos!$F$6)*(((1-Supuestos!$F$22)*Supuestos!$F$19+Supuestos!$F$22*Supuestos!$F$21)-((1-MIN(1,Supuestos!$F$52*$N12))*Supuestos!$F$19+MIN(1,Supuestos!$F$52*$N12)*Supuestos!$F$20))+AB12*Supuestos!$F$23/60*Supuestos!$F$24*MIN(1,Supuestos!$F$55*$L12)</f>
        <v>3483091.4540625</v>
      </c>
      <c r="AD12" s="22" t="n">
        <f aca="false">((Supuestos!$F$36)+(Supuestos!$F$37))/2*Supuestos!$F$13*Supuestos!$F$18*12+AB12*Supuestos!$F$25+AB12*Supuestos!$F$58*$J12*(Supuestos!$F$26*(Supuestos!$F$7/Supuestos!$F$6)+Supuestos!$F$27)+AB12*Supuestos!$F$28*Supuestos!$F$29+(Supuestos!$F$61+Supuestos!$F$64)*$K12</f>
        <v>2479120.946</v>
      </c>
      <c r="AE12" s="22" t="n">
        <f aca="false">(Supuestos!$F$37-Supuestos!$F$36)*Supuestos!$F$13*Supuestos!$F$14*$I12*(1+Supuestos!$F$15)+MIN(Supuestos!$F$37-Supuestos!$F$36,Supuestos!$F$40)*Supuestos!$F$17+((Supuestos!$F$37-Supuestos!$F$36)-MIN(Supuestos!$F$37-Supuestos!$F$36,Supuestos!$F$40))*Supuestos!$F$16</f>
        <v>1223000</v>
      </c>
      <c r="AF12" s="22" t="n">
        <f aca="false">AC12-AD12-AE12</f>
        <v>-219029.4919375</v>
      </c>
      <c r="AG12" s="22" t="n">
        <f aca="false">((Supuestos!$F$37)+(Supuestos!$F$37))/2*Supuestos!$F$10*Supuestos!$F$11*Supuestos!$F$12*$E12</f>
        <v>40241250</v>
      </c>
      <c r="AH12" s="22" t="n">
        <f aca="false">AG12*MIN(1,Supuestos!$F$43*$G12)*MIN(1,Supuestos!$F$46*$H12)</f>
        <v>9657900</v>
      </c>
      <c r="AI12" s="22" t="n">
        <f aca="false">AG12*Supuestos!$F$49*$F12*(Supuestos!$F$7/Supuestos!$F$8*Supuestos!$F$9*$M12)+AH12*(Supuestos!$F$7/Supuestos!$F$6)*(((1-Supuestos!$F$22)*Supuestos!$F$19+Supuestos!$F$22*Supuestos!$F$21)-((1-MIN(1,Supuestos!$F$52*$N12))*Supuestos!$F$19+MIN(1,Supuestos!$F$52*$N12)*Supuestos!$F$20))+AH12*Supuestos!$F$23/60*Supuestos!$F$24*MIN(1,Supuestos!$F$55*$L12)</f>
        <v>3870101.615625</v>
      </c>
      <c r="AJ12" s="22" t="n">
        <f aca="false">((Supuestos!$F$37)+(Supuestos!$F$37))/2*Supuestos!$F$13*Supuestos!$F$18*12+AH12*Supuestos!$F$25+AH12*Supuestos!$F$58*$J12*(Supuestos!$F$26*(Supuestos!$F$7/Supuestos!$F$6)+Supuestos!$F$27)+AH12*Supuestos!$F$28*Supuestos!$F$29+(Supuestos!$F$61+Supuestos!$F$64)*$K12</f>
        <v>2615689.94</v>
      </c>
      <c r="AK12" s="22" t="n">
        <f aca="false">0</f>
        <v>0</v>
      </c>
      <c r="AL12" s="22" t="n">
        <f aca="false">AI12-AJ12-AK12</f>
        <v>1254411.675625</v>
      </c>
      <c r="AM12" s="22" t="n">
        <f aca="false">((Supuestos!$F$37)+(Supuestos!$F$37))/2*Supuestos!$F$10*Supuestos!$F$11*Supuestos!$F$12*$E12</f>
        <v>40241250</v>
      </c>
      <c r="AN12" s="22" t="n">
        <f aca="false">AM12*MIN(1,Supuestos!$F$43*$G12)*MIN(1,Supuestos!$F$46*$H12)</f>
        <v>9657900</v>
      </c>
      <c r="AO12" s="22" t="n">
        <f aca="false">AM12*Supuestos!$F$49*$F12*(Supuestos!$F$7/Supuestos!$F$8*Supuestos!$F$9*$M12)+AN12*(Supuestos!$F$7/Supuestos!$F$6)*(((1-Supuestos!$F$22)*Supuestos!$F$19+Supuestos!$F$22*Supuestos!$F$21)-((1-MIN(1,Supuestos!$F$52*$N12))*Supuestos!$F$19+MIN(1,Supuestos!$F$52*$N12)*Supuestos!$F$20))+AN12*Supuestos!$F$23/60*Supuestos!$F$24*MIN(1,Supuestos!$F$55*$L12)</f>
        <v>3870101.615625</v>
      </c>
      <c r="AP12" s="22" t="n">
        <f aca="false">((Supuestos!$F$37)+(Supuestos!$F$37))/2*Supuestos!$F$13*Supuestos!$F$18*12+AN12*Supuestos!$F$25+AN12*Supuestos!$F$58*$J12*(Supuestos!$F$26*(Supuestos!$F$7/Supuestos!$F$6)+Supuestos!$F$27)+AN12*Supuestos!$F$28*Supuestos!$F$29+(Supuestos!$F$61+Supuestos!$F$64)*$K12</f>
        <v>2615689.94</v>
      </c>
      <c r="AQ12" s="22" t="n">
        <f aca="false">0</f>
        <v>0</v>
      </c>
      <c r="AR12" s="22" t="n">
        <f aca="false">AO12-AP12-AQ12</f>
        <v>1254411.675625</v>
      </c>
    </row>
    <row r="13" customFormat="false" ht="15" hidden="false" customHeight="false" outlineLevel="0" collapsed="false">
      <c r="A13" s="7" t="s">
        <v>246</v>
      </c>
      <c r="B13" s="31" t="n">
        <f aca="false">NPV(Supuestos!$F$30,T13,Z13,AF13,AL13,AR13)</f>
        <v>-3015160.11998629</v>
      </c>
      <c r="C13" s="29" t="n">
        <f aca="false">B13-$B$5</f>
        <v>659302.345580557</v>
      </c>
      <c r="D13" s="4"/>
      <c r="E13" s="44" t="n">
        <v>1</v>
      </c>
      <c r="F13" s="44" t="n">
        <v>1</v>
      </c>
      <c r="G13" s="44" t="n">
        <v>1</v>
      </c>
      <c r="H13" s="44" t="n">
        <v>1.25</v>
      </c>
      <c r="I13" s="44" t="n">
        <v>1</v>
      </c>
      <c r="J13" s="44" t="n">
        <v>1</v>
      </c>
      <c r="K13" s="44" t="n">
        <v>1</v>
      </c>
      <c r="L13" s="44" t="n">
        <v>1</v>
      </c>
      <c r="M13" s="44" t="n">
        <v>1</v>
      </c>
      <c r="N13" s="44" t="n">
        <v>1</v>
      </c>
      <c r="O13" s="22" t="n">
        <f aca="false">((Supuestos!$F$31)+(Supuestos!$F$35))/2*Supuestos!$F$10*Supuestos!$F$11*Supuestos!$F$12*$E13</f>
        <v>9899347.5</v>
      </c>
      <c r="P13" s="22" t="n">
        <f aca="false">O13*MIN(1,Supuestos!$F$41*$G13)*MIN(1,Supuestos!$F$44*$H13)</f>
        <v>1732385.8125</v>
      </c>
      <c r="Q13" s="22" t="n">
        <f aca="false">O13*Supuestos!$F$47*$F13*(Supuestos!$F$7/Supuestos!$F$8*Supuestos!$F$9*$M13)+P13*(Supuestos!$F$7/Supuestos!$F$6)*(((1-Supuestos!$F$22)*Supuestos!$F$19+Supuestos!$F$22*Supuestos!$F$21)-((1-MIN(1,Supuestos!$F$50*$N13))*Supuestos!$F$19+MIN(1,Supuestos!$F$50*$N13)*Supuestos!$F$20))+P13*Supuestos!$F$23/60*Supuestos!$F$24*MIN(1,Supuestos!$F$53*$L13)</f>
        <v>127763.453671875</v>
      </c>
      <c r="R13" s="22" t="n">
        <f aca="false">((Supuestos!$F$31)+(Supuestos!$F$35))/2*Supuestos!$F$13*Supuestos!$F$18*12+P13*Supuestos!$F$25+P13*Supuestos!$F$56*$J13*(Supuestos!$F$26*(Supuestos!$F$7/Supuestos!$F$6)+Supuestos!$F$27)+P13*Supuestos!$F$28*Supuestos!$F$29+(Supuestos!$F$59+Supuestos!$F$62)*$K13</f>
        <v>1721805.2625375</v>
      </c>
      <c r="S13" s="22" t="n">
        <f aca="false">(Supuestos!$F$35-Supuestos!$F$31)*Supuestos!$F$13*Supuestos!$F$14*$I13*(1+Supuestos!$F$15)+MIN(Supuestos!$F$35-Supuestos!$F$31,Supuestos!$F$38)*Supuestos!$F$17+((Supuestos!$F$35-Supuestos!$F$31)-MIN(Supuestos!$F$35-Supuestos!$F$31,Supuestos!$F$38))*Supuestos!$F$16</f>
        <v>2411820</v>
      </c>
      <c r="T13" s="22" t="n">
        <f aca="false">Q13-R13-S13</f>
        <v>-4005861.80886563</v>
      </c>
      <c r="U13" s="22" t="n">
        <f aca="false">((Supuestos!$F$35)+(Supuestos!$F$36))/2*Supuestos!$F$10*Supuestos!$F$11*Supuestos!$F$12*$E13</f>
        <v>25754400</v>
      </c>
      <c r="V13" s="22" t="n">
        <f aca="false">U13*MIN(1,Supuestos!$F$42*$G13)*MIN(1,Supuestos!$F$45*$H13)</f>
        <v>7340004</v>
      </c>
      <c r="W13" s="22" t="n">
        <f aca="false">U13*Supuestos!$F$48*$F13*(Supuestos!$F$7/Supuestos!$F$8*Supuestos!$F$9*$M13)+V13*(Supuestos!$F$7/Supuestos!$F$6)*(((1-Supuestos!$F$22)*Supuestos!$F$19+Supuestos!$F$22*Supuestos!$F$21)-((1-MIN(1,Supuestos!$F$51*$N13))*Supuestos!$F$19+MIN(1,Supuestos!$F$51*$N13)*Supuestos!$F$20))+V13*Supuestos!$F$23/60*Supuestos!$F$24*MIN(1,Supuestos!$F$54*$L13)</f>
        <v>1574131.4631</v>
      </c>
      <c r="X13" s="22" t="n">
        <f aca="false">((Supuestos!$F$35)+(Supuestos!$F$36))/2*Supuestos!$F$13*Supuestos!$F$18*12+V13*Supuestos!$F$25+V13*Supuestos!$F$57*$J13*(Supuestos!$F$26*(Supuestos!$F$7/Supuestos!$F$6)+Supuestos!$F$27)+V13*Supuestos!$F$28*Supuestos!$F$29+(Supuestos!$F$60+Supuestos!$F$63)*$K13</f>
        <v>2375080.408</v>
      </c>
      <c r="Y13" s="22" t="n">
        <f aca="false">(Supuestos!$F$36-Supuestos!$F$35)*Supuestos!$F$13*Supuestos!$F$14*$I13*(1+Supuestos!$F$15)+MIN(Supuestos!$F$36-Supuestos!$F$35,Supuestos!$F$39)*Supuestos!$F$17+((Supuestos!$F$36-Supuestos!$F$35)-MIN(Supuestos!$F$36-Supuestos!$F$35,Supuestos!$F$39))*Supuestos!$F$16</f>
        <v>1956800</v>
      </c>
      <c r="Z13" s="22" t="n">
        <f aca="false">W13-X13-Y13</f>
        <v>-2757748.9449</v>
      </c>
      <c r="AA13" s="22" t="n">
        <f aca="false">((Supuestos!$F$36)+(Supuestos!$F$37))/2*Supuestos!$F$10*Supuestos!$F$11*Supuestos!$F$12*$E13</f>
        <v>36217125</v>
      </c>
      <c r="AB13" s="22" t="n">
        <f aca="false">AA13*MIN(1,Supuestos!$F$43*$G13)*MIN(1,Supuestos!$F$46*$H13)</f>
        <v>14486850</v>
      </c>
      <c r="AC13" s="22" t="n">
        <f aca="false">AA13*Supuestos!$F$49*$F13*(Supuestos!$F$7/Supuestos!$F$8*Supuestos!$F$9*$M13)+AB13*(Supuestos!$F$7/Supuestos!$F$6)*(((1-Supuestos!$F$22)*Supuestos!$F$19+Supuestos!$F$22*Supuestos!$F$21)-((1-MIN(1,Supuestos!$F$52*$N13))*Supuestos!$F$19+MIN(1,Supuestos!$F$52*$N13)*Supuestos!$F$20))+AB13*Supuestos!$F$23/60*Supuestos!$F$24*MIN(1,Supuestos!$F$55*$L13)</f>
        <v>4683326.9765625</v>
      </c>
      <c r="AD13" s="22" t="n">
        <f aca="false">((Supuestos!$F$36)+(Supuestos!$F$37))/2*Supuestos!$F$13*Supuestos!$F$18*12+AB13*Supuestos!$F$25+AB13*Supuestos!$F$58*$J13*(Supuestos!$F$26*(Supuestos!$F$7/Supuestos!$F$6)+Supuestos!$F$27)+AB13*Supuestos!$F$28*Supuestos!$F$29+(Supuestos!$F$61+Supuestos!$F$64)*$K13</f>
        <v>2992534.91</v>
      </c>
      <c r="AE13" s="22" t="n">
        <f aca="false">(Supuestos!$F$37-Supuestos!$F$36)*Supuestos!$F$13*Supuestos!$F$14*$I13*(1+Supuestos!$F$15)+MIN(Supuestos!$F$37-Supuestos!$F$36,Supuestos!$F$40)*Supuestos!$F$17+((Supuestos!$F$37-Supuestos!$F$36)-MIN(Supuestos!$F$37-Supuestos!$F$36,Supuestos!$F$40))*Supuestos!$F$16</f>
        <v>1223000</v>
      </c>
      <c r="AF13" s="22" t="n">
        <f aca="false">AC13-AD13-AE13</f>
        <v>467792.066562499</v>
      </c>
      <c r="AG13" s="22" t="n">
        <f aca="false">((Supuestos!$F$37)+(Supuestos!$F$37))/2*Supuestos!$F$10*Supuestos!$F$11*Supuestos!$F$12*$E13</f>
        <v>40241250</v>
      </c>
      <c r="AH13" s="22" t="n">
        <f aca="false">AG13*MIN(1,Supuestos!$F$43*$G13)*MIN(1,Supuestos!$F$46*$H13)</f>
        <v>16096500</v>
      </c>
      <c r="AI13" s="22" t="n">
        <f aca="false">AG13*Supuestos!$F$49*$F13*(Supuestos!$F$7/Supuestos!$F$8*Supuestos!$F$9*$M13)+AH13*(Supuestos!$F$7/Supuestos!$F$6)*(((1-Supuestos!$F$22)*Supuestos!$F$19+Supuestos!$F$22*Supuestos!$F$21)-((1-MIN(1,Supuestos!$F$52*$N13))*Supuestos!$F$19+MIN(1,Supuestos!$F$52*$N13)*Supuestos!$F$20))+AH13*Supuestos!$F$23/60*Supuestos!$F$24*MIN(1,Supuestos!$F$55*$L13)</f>
        <v>5203696.640625</v>
      </c>
      <c r="AJ13" s="22" t="n">
        <f aca="false">((Supuestos!$F$37)+(Supuestos!$F$37))/2*Supuestos!$F$13*Supuestos!$F$18*12+AH13*Supuestos!$F$25+AH13*Supuestos!$F$58*$J13*(Supuestos!$F$26*(Supuestos!$F$7/Supuestos!$F$6)+Supuestos!$F$27)+AH13*Supuestos!$F$28*Supuestos!$F$29+(Supuestos!$F$61+Supuestos!$F$64)*$K13</f>
        <v>3186149.9</v>
      </c>
      <c r="AK13" s="22" t="n">
        <f aca="false">0</f>
        <v>0</v>
      </c>
      <c r="AL13" s="22" t="n">
        <f aca="false">AI13-AJ13-AK13</f>
        <v>2017546.740625</v>
      </c>
      <c r="AM13" s="22" t="n">
        <f aca="false">((Supuestos!$F$37)+(Supuestos!$F$37))/2*Supuestos!$F$10*Supuestos!$F$11*Supuestos!$F$12*$E13</f>
        <v>40241250</v>
      </c>
      <c r="AN13" s="22" t="n">
        <f aca="false">AM13*MIN(1,Supuestos!$F$43*$G13)*MIN(1,Supuestos!$F$46*$H13)</f>
        <v>16096500</v>
      </c>
      <c r="AO13" s="22" t="n">
        <f aca="false">AM13*Supuestos!$F$49*$F13*(Supuestos!$F$7/Supuestos!$F$8*Supuestos!$F$9*$M13)+AN13*(Supuestos!$F$7/Supuestos!$F$6)*(((1-Supuestos!$F$22)*Supuestos!$F$19+Supuestos!$F$22*Supuestos!$F$21)-((1-MIN(1,Supuestos!$F$52*$N13))*Supuestos!$F$19+MIN(1,Supuestos!$F$52*$N13)*Supuestos!$F$20))+AN13*Supuestos!$F$23/60*Supuestos!$F$24*MIN(1,Supuestos!$F$55*$L13)</f>
        <v>5203696.640625</v>
      </c>
      <c r="AP13" s="22" t="n">
        <f aca="false">((Supuestos!$F$37)+(Supuestos!$F$37))/2*Supuestos!$F$13*Supuestos!$F$18*12+AN13*Supuestos!$F$25+AN13*Supuestos!$F$58*$J13*(Supuestos!$F$26*(Supuestos!$F$7/Supuestos!$F$6)+Supuestos!$F$27)+AN13*Supuestos!$F$28*Supuestos!$F$29+(Supuestos!$F$61+Supuestos!$F$64)*$K13</f>
        <v>3186149.9</v>
      </c>
      <c r="AQ13" s="22" t="n">
        <f aca="false">0</f>
        <v>0</v>
      </c>
      <c r="AR13" s="22" t="n">
        <f aca="false">AO13-AP13-AQ13</f>
        <v>2017546.740625</v>
      </c>
    </row>
    <row r="14" customFormat="false" ht="15" hidden="false" customHeight="false" outlineLevel="0" collapsed="false">
      <c r="A14" s="7" t="s">
        <v>247</v>
      </c>
      <c r="B14" s="31" t="n">
        <f aca="false">NPV(Supuestos!$F$30,T14,Z14,AF14,AL14,AR14)</f>
        <v>-2912142.72249104</v>
      </c>
      <c r="C14" s="29" t="n">
        <f aca="false">B14-$B$5</f>
        <v>762319.743075802</v>
      </c>
      <c r="D14" s="4"/>
      <c r="E14" s="44" t="n">
        <v>1</v>
      </c>
      <c r="F14" s="44" t="n">
        <v>1</v>
      </c>
      <c r="G14" s="44" t="n">
        <v>1</v>
      </c>
      <c r="H14" s="44" t="n">
        <v>1</v>
      </c>
      <c r="I14" s="44" t="n">
        <v>0.75</v>
      </c>
      <c r="J14" s="44" t="n">
        <v>1</v>
      </c>
      <c r="K14" s="44" t="n">
        <v>1</v>
      </c>
      <c r="L14" s="44" t="n">
        <v>1</v>
      </c>
      <c r="M14" s="44" t="n">
        <v>1</v>
      </c>
      <c r="N14" s="44" t="n">
        <v>1</v>
      </c>
      <c r="O14" s="22" t="n">
        <f aca="false">((Supuestos!$F$31)+(Supuestos!$F$35))/2*Supuestos!$F$10*Supuestos!$F$11*Supuestos!$F$12*$E14</f>
        <v>9899347.5</v>
      </c>
      <c r="P14" s="22" t="n">
        <f aca="false">O14*MIN(1,Supuestos!$F$41*$G14)*MIN(1,Supuestos!$F$44*$H14)</f>
        <v>1385908.65</v>
      </c>
      <c r="Q14" s="22" t="n">
        <f aca="false">O14*Supuestos!$F$47*$F14*(Supuestos!$F$7/Supuestos!$F$8*Supuestos!$F$9*$M14)+P14*(Supuestos!$F$7/Supuestos!$F$6)*(((1-Supuestos!$F$22)*Supuestos!$F$19+Supuestos!$F$22*Supuestos!$F$21)-((1-MIN(1,Supuestos!$F$50*$N14))*Supuestos!$F$19+MIN(1,Supuestos!$F$50*$N14)*Supuestos!$F$20))+P14*Supuestos!$F$23/60*Supuestos!$F$24*MIN(1,Supuestos!$F$53*$L14)</f>
        <v>132873.99181875</v>
      </c>
      <c r="R14" s="22" t="n">
        <f aca="false">((Supuestos!$F$31)+(Supuestos!$F$35))/2*Supuestos!$F$13*Supuestos!$F$18*12+P14*Supuestos!$F$25+P14*Supuestos!$F$56*$J14*(Supuestos!$F$26*(Supuestos!$F$7/Supuestos!$F$6)+Supuestos!$F$27)+P14*Supuestos!$F$28*Supuestos!$F$29+(Supuestos!$F$59+Supuestos!$F$62)*$K14</f>
        <v>1672536.21003</v>
      </c>
      <c r="S14" s="22" t="n">
        <f aca="false">(Supuestos!$F$35-Supuestos!$F$31)*Supuestos!$F$13*Supuestos!$F$14*$I14*(1+Supuestos!$F$15)+MIN(Supuestos!$F$35-Supuestos!$F$31,Supuestos!$F$38)*Supuestos!$F$17+((Supuestos!$F$35-Supuestos!$F$31)-MIN(Supuestos!$F$35-Supuestos!$F$31,Supuestos!$F$38))*Supuestos!$F$16</f>
        <v>1974240</v>
      </c>
      <c r="T14" s="22" t="n">
        <f aca="false">Q14-R14-S14</f>
        <v>-3513902.21821125</v>
      </c>
      <c r="U14" s="22" t="n">
        <f aca="false">((Supuestos!$F$35)+(Supuestos!$F$36))/2*Supuestos!$F$10*Supuestos!$F$11*Supuestos!$F$12*$E14</f>
        <v>25754400</v>
      </c>
      <c r="V14" s="22" t="n">
        <f aca="false">U14*MIN(1,Supuestos!$F$42*$G14)*MIN(1,Supuestos!$F$45*$H14)</f>
        <v>5872003.2</v>
      </c>
      <c r="W14" s="22" t="n">
        <f aca="false">U14*Supuestos!$F$48*$F14*(Supuestos!$F$7/Supuestos!$F$8*Supuestos!$F$9*$M14)+V14*(Supuestos!$F$7/Supuestos!$F$6)*(((1-Supuestos!$F$22)*Supuestos!$F$19+Supuestos!$F$22*Supuestos!$F$21)-((1-MIN(1,Supuestos!$F$51*$N14))*Supuestos!$F$19+MIN(1,Supuestos!$F$51*$N14)*Supuestos!$F$20))+V14*Supuestos!$F$23/60*Supuestos!$F$24*MIN(1,Supuestos!$F$54*$L14)</f>
        <v>1418853.67848</v>
      </c>
      <c r="X14" s="22" t="n">
        <f aca="false">((Supuestos!$F$35)+(Supuestos!$F$36))/2*Supuestos!$F$13*Supuestos!$F$18*12+V14*Supuestos!$F$25+V14*Supuestos!$F$57*$J14*(Supuestos!$F$26*(Supuestos!$F$7/Supuestos!$F$6)+Supuestos!$F$27)+V14*Supuestos!$F$28*Supuestos!$F$29+(Supuestos!$F$60+Supuestos!$F$63)*$K14</f>
        <v>2225344.3264</v>
      </c>
      <c r="Y14" s="22" t="n">
        <f aca="false">(Supuestos!$F$36-Supuestos!$F$35)*Supuestos!$F$13*Supuestos!$F$14*$I14*(1+Supuestos!$F$15)+MIN(Supuestos!$F$36-Supuestos!$F$35,Supuestos!$F$39)*Supuestos!$F$17+((Supuestos!$F$36-Supuestos!$F$35)-MIN(Supuestos!$F$36-Supuestos!$F$35,Supuestos!$F$39))*Supuestos!$F$16</f>
        <v>1657600</v>
      </c>
      <c r="Z14" s="22" t="n">
        <f aca="false">W14-X14-Y14</f>
        <v>-2464090.64792</v>
      </c>
      <c r="AA14" s="22" t="n">
        <f aca="false">((Supuestos!$F$36)+(Supuestos!$F$37))/2*Supuestos!$F$10*Supuestos!$F$11*Supuestos!$F$12*$E14</f>
        <v>36217125</v>
      </c>
      <c r="AB14" s="22" t="n">
        <f aca="false">AA14*MIN(1,Supuestos!$F$43*$G14)*MIN(1,Supuestos!$F$46*$H14)</f>
        <v>11589480</v>
      </c>
      <c r="AC14" s="22" t="n">
        <f aca="false">AA14*Supuestos!$F$49*$F14*(Supuestos!$F$7/Supuestos!$F$8*Supuestos!$F$9*$M14)+AB14*(Supuestos!$F$7/Supuestos!$F$6)*(((1-Supuestos!$F$22)*Supuestos!$F$19+Supuestos!$F$22*Supuestos!$F$21)-((1-MIN(1,Supuestos!$F$52*$N14))*Supuestos!$F$19+MIN(1,Supuestos!$F$52*$N14)*Supuestos!$F$20))+AB14*Supuestos!$F$23/60*Supuestos!$F$24*MIN(1,Supuestos!$F$55*$L14)</f>
        <v>4083209.2153125</v>
      </c>
      <c r="AD14" s="22" t="n">
        <f aca="false">((Supuestos!$F$36)+(Supuestos!$F$37))/2*Supuestos!$F$13*Supuestos!$F$18*12+AB14*Supuestos!$F$25+AB14*Supuestos!$F$58*$J14*(Supuestos!$F$26*(Supuestos!$F$7/Supuestos!$F$6)+Supuestos!$F$27)+AB14*Supuestos!$F$28*Supuestos!$F$29+(Supuestos!$F$61+Supuestos!$F$64)*$K14</f>
        <v>2735827.928</v>
      </c>
      <c r="AE14" s="22" t="n">
        <f aca="false">(Supuestos!$F$37-Supuestos!$F$36)*Supuestos!$F$13*Supuestos!$F$14*$I14*(1+Supuestos!$F$15)+MIN(Supuestos!$F$37-Supuestos!$F$36,Supuestos!$F$40)*Supuestos!$F$17+((Supuestos!$F$37-Supuestos!$F$36)-MIN(Supuestos!$F$37-Supuestos!$F$36,Supuestos!$F$40))*Supuestos!$F$16</f>
        <v>1036000</v>
      </c>
      <c r="AF14" s="22" t="n">
        <f aca="false">AC14-AD14-AE14</f>
        <v>311381.287312499</v>
      </c>
      <c r="AG14" s="22" t="n">
        <f aca="false">((Supuestos!$F$37)+(Supuestos!$F$37))/2*Supuestos!$F$10*Supuestos!$F$11*Supuestos!$F$12*$E14</f>
        <v>40241250</v>
      </c>
      <c r="AH14" s="22" t="n">
        <f aca="false">AG14*MIN(1,Supuestos!$F$43*$G14)*MIN(1,Supuestos!$F$46*$H14)</f>
        <v>12877200</v>
      </c>
      <c r="AI14" s="22" t="n">
        <f aca="false">AG14*Supuestos!$F$49*$F14*(Supuestos!$F$7/Supuestos!$F$8*Supuestos!$F$9*$M14)+AH14*(Supuestos!$F$7/Supuestos!$F$6)*(((1-Supuestos!$F$22)*Supuestos!$F$19+Supuestos!$F$22*Supuestos!$F$21)-((1-MIN(1,Supuestos!$F$52*$N14))*Supuestos!$F$19+MIN(1,Supuestos!$F$52*$N14)*Supuestos!$F$20))+AH14*Supuestos!$F$23/60*Supuestos!$F$24*MIN(1,Supuestos!$F$55*$L14)</f>
        <v>4536899.128125</v>
      </c>
      <c r="AJ14" s="22" t="n">
        <f aca="false">((Supuestos!$F$37)+(Supuestos!$F$37))/2*Supuestos!$F$13*Supuestos!$F$18*12+AH14*Supuestos!$F$25+AH14*Supuestos!$F$58*$J14*(Supuestos!$F$26*(Supuestos!$F$7/Supuestos!$F$6)+Supuestos!$F$27)+AH14*Supuestos!$F$28*Supuestos!$F$29+(Supuestos!$F$61+Supuestos!$F$64)*$K14</f>
        <v>2900919.92</v>
      </c>
      <c r="AK14" s="22" t="n">
        <f aca="false">0</f>
        <v>0</v>
      </c>
      <c r="AL14" s="22" t="n">
        <f aca="false">AI14-AJ14-AK14</f>
        <v>1635979.208125</v>
      </c>
      <c r="AM14" s="22" t="n">
        <f aca="false">((Supuestos!$F$37)+(Supuestos!$F$37))/2*Supuestos!$F$10*Supuestos!$F$11*Supuestos!$F$12*$E14</f>
        <v>40241250</v>
      </c>
      <c r="AN14" s="22" t="n">
        <f aca="false">AM14*MIN(1,Supuestos!$F$43*$G14)*MIN(1,Supuestos!$F$46*$H14)</f>
        <v>12877200</v>
      </c>
      <c r="AO14" s="22" t="n">
        <f aca="false">AM14*Supuestos!$F$49*$F14*(Supuestos!$F$7/Supuestos!$F$8*Supuestos!$F$9*$M14)+AN14*(Supuestos!$F$7/Supuestos!$F$6)*(((1-Supuestos!$F$22)*Supuestos!$F$19+Supuestos!$F$22*Supuestos!$F$21)-((1-MIN(1,Supuestos!$F$52*$N14))*Supuestos!$F$19+MIN(1,Supuestos!$F$52*$N14)*Supuestos!$F$20))+AN14*Supuestos!$F$23/60*Supuestos!$F$24*MIN(1,Supuestos!$F$55*$L14)</f>
        <v>4536899.128125</v>
      </c>
      <c r="AP14" s="22" t="n">
        <f aca="false">((Supuestos!$F$37)+(Supuestos!$F$37))/2*Supuestos!$F$13*Supuestos!$F$18*12+AN14*Supuestos!$F$25+AN14*Supuestos!$F$58*$J14*(Supuestos!$F$26*(Supuestos!$F$7/Supuestos!$F$6)+Supuestos!$F$27)+AN14*Supuestos!$F$28*Supuestos!$F$29+(Supuestos!$F$61+Supuestos!$F$64)*$K14</f>
        <v>2900919.92</v>
      </c>
      <c r="AQ14" s="22" t="n">
        <f aca="false">0</f>
        <v>0</v>
      </c>
      <c r="AR14" s="22" t="n">
        <f aca="false">AO14-AP14-AQ14</f>
        <v>1635979.208125</v>
      </c>
    </row>
    <row r="15" customFormat="false" ht="15" hidden="false" customHeight="false" outlineLevel="0" collapsed="false">
      <c r="A15" s="7" t="s">
        <v>248</v>
      </c>
      <c r="B15" s="31" t="n">
        <f aca="false">NPV(Supuestos!$F$30,T15,Z15,AF15,AL15,AR15)</f>
        <v>-4436782.20864265</v>
      </c>
      <c r="C15" s="29" t="n">
        <f aca="false">B15-$B$5</f>
        <v>-762319.743075802</v>
      </c>
      <c r="D15" s="4"/>
      <c r="E15" s="44" t="n">
        <v>1</v>
      </c>
      <c r="F15" s="44" t="n">
        <v>1</v>
      </c>
      <c r="G15" s="44" t="n">
        <v>1</v>
      </c>
      <c r="H15" s="44" t="n">
        <v>1</v>
      </c>
      <c r="I15" s="44" t="n">
        <v>1.25</v>
      </c>
      <c r="J15" s="44" t="n">
        <v>1</v>
      </c>
      <c r="K15" s="44" t="n">
        <v>1</v>
      </c>
      <c r="L15" s="44" t="n">
        <v>1</v>
      </c>
      <c r="M15" s="44" t="n">
        <v>1</v>
      </c>
      <c r="N15" s="44" t="n">
        <v>1</v>
      </c>
      <c r="O15" s="22" t="n">
        <f aca="false">((Supuestos!$F$31)+(Supuestos!$F$35))/2*Supuestos!$F$10*Supuestos!$F$11*Supuestos!$F$12*$E15</f>
        <v>9899347.5</v>
      </c>
      <c r="P15" s="22" t="n">
        <f aca="false">O15*MIN(1,Supuestos!$F$41*$G15)*MIN(1,Supuestos!$F$44*$H15)</f>
        <v>1385908.65</v>
      </c>
      <c r="Q15" s="22" t="n">
        <f aca="false">O15*Supuestos!$F$47*$F15*(Supuestos!$F$7/Supuestos!$F$8*Supuestos!$F$9*$M15)+P15*(Supuestos!$F$7/Supuestos!$F$6)*(((1-Supuestos!$F$22)*Supuestos!$F$19+Supuestos!$F$22*Supuestos!$F$21)-((1-MIN(1,Supuestos!$F$50*$N15))*Supuestos!$F$19+MIN(1,Supuestos!$F$50*$N15)*Supuestos!$F$20))+P15*Supuestos!$F$23/60*Supuestos!$F$24*MIN(1,Supuestos!$F$53*$L15)</f>
        <v>132873.99181875</v>
      </c>
      <c r="R15" s="22" t="n">
        <f aca="false">((Supuestos!$F$31)+(Supuestos!$F$35))/2*Supuestos!$F$13*Supuestos!$F$18*12+P15*Supuestos!$F$25+P15*Supuestos!$F$56*$J15*(Supuestos!$F$26*(Supuestos!$F$7/Supuestos!$F$6)+Supuestos!$F$27)+P15*Supuestos!$F$28*Supuestos!$F$29+(Supuestos!$F$59+Supuestos!$F$62)*$K15</f>
        <v>1672536.21003</v>
      </c>
      <c r="S15" s="22" t="n">
        <f aca="false">(Supuestos!$F$35-Supuestos!$F$31)*Supuestos!$F$13*Supuestos!$F$14*$I15*(1+Supuestos!$F$15)+MIN(Supuestos!$F$35-Supuestos!$F$31,Supuestos!$F$38)*Supuestos!$F$17+((Supuestos!$F$35-Supuestos!$F$31)-MIN(Supuestos!$F$35-Supuestos!$F$31,Supuestos!$F$38))*Supuestos!$F$16</f>
        <v>2849400</v>
      </c>
      <c r="T15" s="22" t="n">
        <f aca="false">Q15-R15-S15</f>
        <v>-4389062.21821125</v>
      </c>
      <c r="U15" s="22" t="n">
        <f aca="false">((Supuestos!$F$35)+(Supuestos!$F$36))/2*Supuestos!$F$10*Supuestos!$F$11*Supuestos!$F$12*$E15</f>
        <v>25754400</v>
      </c>
      <c r="V15" s="22" t="n">
        <f aca="false">U15*MIN(1,Supuestos!$F$42*$G15)*MIN(1,Supuestos!$F$45*$H15)</f>
        <v>5872003.2</v>
      </c>
      <c r="W15" s="22" t="n">
        <f aca="false">U15*Supuestos!$F$48*$F15*(Supuestos!$F$7/Supuestos!$F$8*Supuestos!$F$9*$M15)+V15*(Supuestos!$F$7/Supuestos!$F$6)*(((1-Supuestos!$F$22)*Supuestos!$F$19+Supuestos!$F$22*Supuestos!$F$21)-((1-MIN(1,Supuestos!$F$51*$N15))*Supuestos!$F$19+MIN(1,Supuestos!$F$51*$N15)*Supuestos!$F$20))+V15*Supuestos!$F$23/60*Supuestos!$F$24*MIN(1,Supuestos!$F$54*$L15)</f>
        <v>1418853.67848</v>
      </c>
      <c r="X15" s="22" t="n">
        <f aca="false">((Supuestos!$F$35)+(Supuestos!$F$36))/2*Supuestos!$F$13*Supuestos!$F$18*12+V15*Supuestos!$F$25+V15*Supuestos!$F$57*$J15*(Supuestos!$F$26*(Supuestos!$F$7/Supuestos!$F$6)+Supuestos!$F$27)+V15*Supuestos!$F$28*Supuestos!$F$29+(Supuestos!$F$60+Supuestos!$F$63)*$K15</f>
        <v>2225344.3264</v>
      </c>
      <c r="Y15" s="22" t="n">
        <f aca="false">(Supuestos!$F$36-Supuestos!$F$35)*Supuestos!$F$13*Supuestos!$F$14*$I15*(1+Supuestos!$F$15)+MIN(Supuestos!$F$36-Supuestos!$F$35,Supuestos!$F$39)*Supuestos!$F$17+((Supuestos!$F$36-Supuestos!$F$35)-MIN(Supuestos!$F$36-Supuestos!$F$35,Supuestos!$F$39))*Supuestos!$F$16</f>
        <v>2256000</v>
      </c>
      <c r="Z15" s="22" t="n">
        <f aca="false">W15-X15-Y15</f>
        <v>-3062490.64792</v>
      </c>
      <c r="AA15" s="22" t="n">
        <f aca="false">((Supuestos!$F$36)+(Supuestos!$F$37))/2*Supuestos!$F$10*Supuestos!$F$11*Supuestos!$F$12*$E15</f>
        <v>36217125</v>
      </c>
      <c r="AB15" s="22" t="n">
        <f aca="false">AA15*MIN(1,Supuestos!$F$43*$G15)*MIN(1,Supuestos!$F$46*$H15)</f>
        <v>11589480</v>
      </c>
      <c r="AC15" s="22" t="n">
        <f aca="false">AA15*Supuestos!$F$49*$F15*(Supuestos!$F$7/Supuestos!$F$8*Supuestos!$F$9*$M15)+AB15*(Supuestos!$F$7/Supuestos!$F$6)*(((1-Supuestos!$F$22)*Supuestos!$F$19+Supuestos!$F$22*Supuestos!$F$21)-((1-MIN(1,Supuestos!$F$52*$N15))*Supuestos!$F$19+MIN(1,Supuestos!$F$52*$N15)*Supuestos!$F$20))+AB15*Supuestos!$F$23/60*Supuestos!$F$24*MIN(1,Supuestos!$F$55*$L15)</f>
        <v>4083209.2153125</v>
      </c>
      <c r="AD15" s="22" t="n">
        <f aca="false">((Supuestos!$F$36)+(Supuestos!$F$37))/2*Supuestos!$F$13*Supuestos!$F$18*12+AB15*Supuestos!$F$25+AB15*Supuestos!$F$58*$J15*(Supuestos!$F$26*(Supuestos!$F$7/Supuestos!$F$6)+Supuestos!$F$27)+AB15*Supuestos!$F$28*Supuestos!$F$29+(Supuestos!$F$61+Supuestos!$F$64)*$K15</f>
        <v>2735827.928</v>
      </c>
      <c r="AE15" s="22" t="n">
        <f aca="false">(Supuestos!$F$37-Supuestos!$F$36)*Supuestos!$F$13*Supuestos!$F$14*$I15*(1+Supuestos!$F$15)+MIN(Supuestos!$F$37-Supuestos!$F$36,Supuestos!$F$40)*Supuestos!$F$17+((Supuestos!$F$37-Supuestos!$F$36)-MIN(Supuestos!$F$37-Supuestos!$F$36,Supuestos!$F$40))*Supuestos!$F$16</f>
        <v>1410000</v>
      </c>
      <c r="AF15" s="22" t="n">
        <f aca="false">AC15-AD15-AE15</f>
        <v>-62618.7126875008</v>
      </c>
      <c r="AG15" s="22" t="n">
        <f aca="false">((Supuestos!$F$37)+(Supuestos!$F$37))/2*Supuestos!$F$10*Supuestos!$F$11*Supuestos!$F$12*$E15</f>
        <v>40241250</v>
      </c>
      <c r="AH15" s="22" t="n">
        <f aca="false">AG15*MIN(1,Supuestos!$F$43*$G15)*MIN(1,Supuestos!$F$46*$H15)</f>
        <v>12877200</v>
      </c>
      <c r="AI15" s="22" t="n">
        <f aca="false">AG15*Supuestos!$F$49*$F15*(Supuestos!$F$7/Supuestos!$F$8*Supuestos!$F$9*$M15)+AH15*(Supuestos!$F$7/Supuestos!$F$6)*(((1-Supuestos!$F$22)*Supuestos!$F$19+Supuestos!$F$22*Supuestos!$F$21)-((1-MIN(1,Supuestos!$F$52*$N15))*Supuestos!$F$19+MIN(1,Supuestos!$F$52*$N15)*Supuestos!$F$20))+AH15*Supuestos!$F$23/60*Supuestos!$F$24*MIN(1,Supuestos!$F$55*$L15)</f>
        <v>4536899.128125</v>
      </c>
      <c r="AJ15" s="22" t="n">
        <f aca="false">((Supuestos!$F$37)+(Supuestos!$F$37))/2*Supuestos!$F$13*Supuestos!$F$18*12+AH15*Supuestos!$F$25+AH15*Supuestos!$F$58*$J15*(Supuestos!$F$26*(Supuestos!$F$7/Supuestos!$F$6)+Supuestos!$F$27)+AH15*Supuestos!$F$28*Supuestos!$F$29+(Supuestos!$F$61+Supuestos!$F$64)*$K15</f>
        <v>2900919.92</v>
      </c>
      <c r="AK15" s="22" t="n">
        <f aca="false">0</f>
        <v>0</v>
      </c>
      <c r="AL15" s="22" t="n">
        <f aca="false">AI15-AJ15-AK15</f>
        <v>1635979.208125</v>
      </c>
      <c r="AM15" s="22" t="n">
        <f aca="false">((Supuestos!$F$37)+(Supuestos!$F$37))/2*Supuestos!$F$10*Supuestos!$F$11*Supuestos!$F$12*$E15</f>
        <v>40241250</v>
      </c>
      <c r="AN15" s="22" t="n">
        <f aca="false">AM15*MIN(1,Supuestos!$F$43*$G15)*MIN(1,Supuestos!$F$46*$H15)</f>
        <v>12877200</v>
      </c>
      <c r="AO15" s="22" t="n">
        <f aca="false">AM15*Supuestos!$F$49*$F15*(Supuestos!$F$7/Supuestos!$F$8*Supuestos!$F$9*$M15)+AN15*(Supuestos!$F$7/Supuestos!$F$6)*(((1-Supuestos!$F$22)*Supuestos!$F$19+Supuestos!$F$22*Supuestos!$F$21)-((1-MIN(1,Supuestos!$F$52*$N15))*Supuestos!$F$19+MIN(1,Supuestos!$F$52*$N15)*Supuestos!$F$20))+AN15*Supuestos!$F$23/60*Supuestos!$F$24*MIN(1,Supuestos!$F$55*$L15)</f>
        <v>4536899.128125</v>
      </c>
      <c r="AP15" s="22" t="n">
        <f aca="false">((Supuestos!$F$37)+(Supuestos!$F$37))/2*Supuestos!$F$13*Supuestos!$F$18*12+AN15*Supuestos!$F$25+AN15*Supuestos!$F$58*$J15*(Supuestos!$F$26*(Supuestos!$F$7/Supuestos!$F$6)+Supuestos!$F$27)+AN15*Supuestos!$F$28*Supuestos!$F$29+(Supuestos!$F$61+Supuestos!$F$64)*$K15</f>
        <v>2900919.92</v>
      </c>
      <c r="AQ15" s="22" t="n">
        <f aca="false">0</f>
        <v>0</v>
      </c>
      <c r="AR15" s="22" t="n">
        <f aca="false">AO15-AP15-AQ15</f>
        <v>1635979.208125</v>
      </c>
    </row>
    <row r="16" customFormat="false" ht="15" hidden="false" customHeight="false" outlineLevel="0" collapsed="false">
      <c r="A16" s="7" t="s">
        <v>249</v>
      </c>
      <c r="B16" s="31" t="n">
        <f aca="false">NPV(Supuestos!$F$30,T16,Z16,AF16,AL16,AR16)</f>
        <v>-3145423.28585316</v>
      </c>
      <c r="C16" s="29" t="n">
        <f aca="false">B16-$B$5</f>
        <v>529039.179713682</v>
      </c>
      <c r="D16" s="4"/>
      <c r="E16" s="44" t="n">
        <v>1</v>
      </c>
      <c r="F16" s="44" t="n">
        <v>1</v>
      </c>
      <c r="G16" s="44" t="n">
        <v>1</v>
      </c>
      <c r="H16" s="44" t="n">
        <v>1</v>
      </c>
      <c r="I16" s="44" t="n">
        <v>1</v>
      </c>
      <c r="J16" s="44" t="n">
        <v>0.75</v>
      </c>
      <c r="K16" s="44" t="n">
        <v>1</v>
      </c>
      <c r="L16" s="44" t="n">
        <v>1</v>
      </c>
      <c r="M16" s="44" t="n">
        <v>1</v>
      </c>
      <c r="N16" s="44" t="n">
        <v>1</v>
      </c>
      <c r="O16" s="22" t="n">
        <f aca="false">((Supuestos!$F$31)+(Supuestos!$F$35))/2*Supuestos!$F$10*Supuestos!$F$11*Supuestos!$F$12*$E16</f>
        <v>9899347.5</v>
      </c>
      <c r="P16" s="22" t="n">
        <f aca="false">O16*MIN(1,Supuestos!$F$41*$G16)*MIN(1,Supuestos!$F$44*$H16)</f>
        <v>1385908.65</v>
      </c>
      <c r="Q16" s="22" t="n">
        <f aca="false">O16*Supuestos!$F$47*$F16*(Supuestos!$F$7/Supuestos!$F$8*Supuestos!$F$9*$M16)+P16*(Supuestos!$F$7/Supuestos!$F$6)*(((1-Supuestos!$F$22)*Supuestos!$F$19+Supuestos!$F$22*Supuestos!$F$21)-((1-MIN(1,Supuestos!$F$50*$N16))*Supuestos!$F$19+MIN(1,Supuestos!$F$50*$N16)*Supuestos!$F$20))+P16*Supuestos!$F$23/60*Supuestos!$F$24*MIN(1,Supuestos!$F$53*$L16)</f>
        <v>132873.99181875</v>
      </c>
      <c r="R16" s="22" t="n">
        <f aca="false">((Supuestos!$F$31)+(Supuestos!$F$35))/2*Supuestos!$F$13*Supuestos!$F$18*12+P16*Supuestos!$F$25+P16*Supuestos!$F$56*$J16*(Supuestos!$F$26*(Supuestos!$F$7/Supuestos!$F$6)+Supuestos!$F$27)+P16*Supuestos!$F$28*Supuestos!$F$29+(Supuestos!$F$59+Supuestos!$F$62)*$K16</f>
        <v>1630751.0642325</v>
      </c>
      <c r="S16" s="22" t="n">
        <f aca="false">(Supuestos!$F$35-Supuestos!$F$31)*Supuestos!$F$13*Supuestos!$F$14*$I16*(1+Supuestos!$F$15)+MIN(Supuestos!$F$35-Supuestos!$F$31,Supuestos!$F$38)*Supuestos!$F$17+((Supuestos!$F$35-Supuestos!$F$31)-MIN(Supuestos!$F$35-Supuestos!$F$31,Supuestos!$F$38))*Supuestos!$F$16</f>
        <v>2411820</v>
      </c>
      <c r="T16" s="22" t="n">
        <f aca="false">Q16-R16-S16</f>
        <v>-3909697.07241375</v>
      </c>
      <c r="U16" s="22" t="n">
        <f aca="false">((Supuestos!$F$35)+(Supuestos!$F$36))/2*Supuestos!$F$10*Supuestos!$F$11*Supuestos!$F$12*$E16</f>
        <v>25754400</v>
      </c>
      <c r="V16" s="22" t="n">
        <f aca="false">U16*MIN(1,Supuestos!$F$42*$G16)*MIN(1,Supuestos!$F$45*$H16)</f>
        <v>5872003.2</v>
      </c>
      <c r="W16" s="22" t="n">
        <f aca="false">U16*Supuestos!$F$48*$F16*(Supuestos!$F$7/Supuestos!$F$8*Supuestos!$F$9*$M16)+V16*(Supuestos!$F$7/Supuestos!$F$6)*(((1-Supuestos!$F$22)*Supuestos!$F$19+Supuestos!$F$22*Supuestos!$F$21)-((1-MIN(1,Supuestos!$F$51*$N16))*Supuestos!$F$19+MIN(1,Supuestos!$F$51*$N16)*Supuestos!$F$20))+V16*Supuestos!$F$23/60*Supuestos!$F$24*MIN(1,Supuestos!$F$54*$L16)</f>
        <v>1418853.67848</v>
      </c>
      <c r="X16" s="22" t="n">
        <f aca="false">((Supuestos!$F$35)+(Supuestos!$F$36))/2*Supuestos!$F$13*Supuestos!$F$18*12+V16*Supuestos!$F$25+V16*Supuestos!$F$57*$J16*(Supuestos!$F$26*(Supuestos!$F$7/Supuestos!$F$6)+Supuestos!$F$27)+V16*Supuestos!$F$28*Supuestos!$F$29+(Supuestos!$F$60+Supuestos!$F$63)*$K16</f>
        <v>2107317.06208</v>
      </c>
      <c r="Y16" s="22" t="n">
        <f aca="false">(Supuestos!$F$36-Supuestos!$F$35)*Supuestos!$F$13*Supuestos!$F$14*$I16*(1+Supuestos!$F$15)+MIN(Supuestos!$F$36-Supuestos!$F$35,Supuestos!$F$39)*Supuestos!$F$17+((Supuestos!$F$36-Supuestos!$F$35)-MIN(Supuestos!$F$36-Supuestos!$F$35,Supuestos!$F$39))*Supuestos!$F$16</f>
        <v>1956800</v>
      </c>
      <c r="Z16" s="22" t="n">
        <f aca="false">W16-X16-Y16</f>
        <v>-2645263.3836</v>
      </c>
      <c r="AA16" s="22" t="n">
        <f aca="false">((Supuestos!$F$36)+(Supuestos!$F$37))/2*Supuestos!$F$10*Supuestos!$F$11*Supuestos!$F$12*$E16</f>
        <v>36217125</v>
      </c>
      <c r="AB16" s="22" t="n">
        <f aca="false">AA16*MIN(1,Supuestos!$F$43*$G16)*MIN(1,Supuestos!$F$46*$H16)</f>
        <v>11589480</v>
      </c>
      <c r="AC16" s="22" t="n">
        <f aca="false">AA16*Supuestos!$F$49*$F16*(Supuestos!$F$7/Supuestos!$F$8*Supuestos!$F$9*$M16)+AB16*(Supuestos!$F$7/Supuestos!$F$6)*(((1-Supuestos!$F$22)*Supuestos!$F$19+Supuestos!$F$22*Supuestos!$F$21)-((1-MIN(1,Supuestos!$F$52*$N16))*Supuestos!$F$19+MIN(1,Supuestos!$F$52*$N16)*Supuestos!$F$20))+AB16*Supuestos!$F$23/60*Supuestos!$F$24*MIN(1,Supuestos!$F$55*$L16)</f>
        <v>4083209.2153125</v>
      </c>
      <c r="AD16" s="22" t="n">
        <f aca="false">((Supuestos!$F$36)+(Supuestos!$F$37))/2*Supuestos!$F$13*Supuestos!$F$18*12+AB16*Supuestos!$F$25+AB16*Supuestos!$F$58*$J16*(Supuestos!$F$26*(Supuestos!$F$7/Supuestos!$F$6)+Supuestos!$F$27)+AB16*Supuestos!$F$28*Supuestos!$F$29+(Supuestos!$F$61+Supuestos!$F$64)*$K16</f>
        <v>2541704.138</v>
      </c>
      <c r="AE16" s="22" t="n">
        <f aca="false">(Supuestos!$F$37-Supuestos!$F$36)*Supuestos!$F$13*Supuestos!$F$14*$I16*(1+Supuestos!$F$15)+MIN(Supuestos!$F$37-Supuestos!$F$36,Supuestos!$F$40)*Supuestos!$F$17+((Supuestos!$F$37-Supuestos!$F$36)-MIN(Supuestos!$F$37-Supuestos!$F$36,Supuestos!$F$40))*Supuestos!$F$16</f>
        <v>1223000</v>
      </c>
      <c r="AF16" s="22" t="n">
        <f aca="false">AC16-AD16-AE16</f>
        <v>318505.077312499</v>
      </c>
      <c r="AG16" s="22" t="n">
        <f aca="false">((Supuestos!$F$37)+(Supuestos!$F$37))/2*Supuestos!$F$10*Supuestos!$F$11*Supuestos!$F$12*$E16</f>
        <v>40241250</v>
      </c>
      <c r="AH16" s="22" t="n">
        <f aca="false">AG16*MIN(1,Supuestos!$F$43*$G16)*MIN(1,Supuestos!$F$46*$H16)</f>
        <v>12877200</v>
      </c>
      <c r="AI16" s="22" t="n">
        <f aca="false">AG16*Supuestos!$F$49*$F16*(Supuestos!$F$7/Supuestos!$F$8*Supuestos!$F$9*$M16)+AH16*(Supuestos!$F$7/Supuestos!$F$6)*(((1-Supuestos!$F$22)*Supuestos!$F$19+Supuestos!$F$22*Supuestos!$F$21)-((1-MIN(1,Supuestos!$F$52*$N16))*Supuestos!$F$19+MIN(1,Supuestos!$F$52*$N16)*Supuestos!$F$20))+AH16*Supuestos!$F$23/60*Supuestos!$F$24*MIN(1,Supuestos!$F$55*$L16)</f>
        <v>4536899.128125</v>
      </c>
      <c r="AJ16" s="22" t="n">
        <f aca="false">((Supuestos!$F$37)+(Supuestos!$F$37))/2*Supuestos!$F$13*Supuestos!$F$18*12+AH16*Supuestos!$F$25+AH16*Supuestos!$F$58*$J16*(Supuestos!$F$26*(Supuestos!$F$7/Supuestos!$F$6)+Supuestos!$F$27)+AH16*Supuestos!$F$28*Supuestos!$F$29+(Supuestos!$F$61+Supuestos!$F$64)*$K16</f>
        <v>2685226.82</v>
      </c>
      <c r="AK16" s="22" t="n">
        <f aca="false">0</f>
        <v>0</v>
      </c>
      <c r="AL16" s="22" t="n">
        <f aca="false">AI16-AJ16-AK16</f>
        <v>1851672.308125</v>
      </c>
      <c r="AM16" s="22" t="n">
        <f aca="false">((Supuestos!$F$37)+(Supuestos!$F$37))/2*Supuestos!$F$10*Supuestos!$F$11*Supuestos!$F$12*$E16</f>
        <v>40241250</v>
      </c>
      <c r="AN16" s="22" t="n">
        <f aca="false">AM16*MIN(1,Supuestos!$F$43*$G16)*MIN(1,Supuestos!$F$46*$H16)</f>
        <v>12877200</v>
      </c>
      <c r="AO16" s="22" t="n">
        <f aca="false">AM16*Supuestos!$F$49*$F16*(Supuestos!$F$7/Supuestos!$F$8*Supuestos!$F$9*$M16)+AN16*(Supuestos!$F$7/Supuestos!$F$6)*(((1-Supuestos!$F$22)*Supuestos!$F$19+Supuestos!$F$22*Supuestos!$F$21)-((1-MIN(1,Supuestos!$F$52*$N16))*Supuestos!$F$19+MIN(1,Supuestos!$F$52*$N16)*Supuestos!$F$20))+AN16*Supuestos!$F$23/60*Supuestos!$F$24*MIN(1,Supuestos!$F$55*$L16)</f>
        <v>4536899.128125</v>
      </c>
      <c r="AP16" s="22" t="n">
        <f aca="false">((Supuestos!$F$37)+(Supuestos!$F$37))/2*Supuestos!$F$13*Supuestos!$F$18*12+AN16*Supuestos!$F$25+AN16*Supuestos!$F$58*$J16*(Supuestos!$F$26*(Supuestos!$F$7/Supuestos!$F$6)+Supuestos!$F$27)+AN16*Supuestos!$F$28*Supuestos!$F$29+(Supuestos!$F$61+Supuestos!$F$64)*$K16</f>
        <v>2685226.82</v>
      </c>
      <c r="AQ16" s="22" t="n">
        <f aca="false">0</f>
        <v>0</v>
      </c>
      <c r="AR16" s="22" t="n">
        <f aca="false">AO16-AP16-AQ16</f>
        <v>1851672.308125</v>
      </c>
    </row>
    <row r="17" customFormat="false" ht="15" hidden="false" customHeight="false" outlineLevel="0" collapsed="false">
      <c r="A17" s="7" t="s">
        <v>250</v>
      </c>
      <c r="B17" s="31" t="n">
        <f aca="false">NPV(Supuestos!$F$30,T17,Z17,AF17,AL17,AR17)</f>
        <v>-4203501.64528053</v>
      </c>
      <c r="C17" s="29" t="n">
        <f aca="false">B17-$B$5</f>
        <v>-529039.179713681</v>
      </c>
      <c r="D17" s="4"/>
      <c r="E17" s="44" t="n">
        <v>1</v>
      </c>
      <c r="F17" s="44" t="n">
        <v>1</v>
      </c>
      <c r="G17" s="44" t="n">
        <v>1</v>
      </c>
      <c r="H17" s="44" t="n">
        <v>1</v>
      </c>
      <c r="I17" s="44" t="n">
        <v>1</v>
      </c>
      <c r="J17" s="44" t="n">
        <v>1.25</v>
      </c>
      <c r="K17" s="44" t="n">
        <v>1</v>
      </c>
      <c r="L17" s="44" t="n">
        <v>1</v>
      </c>
      <c r="M17" s="44" t="n">
        <v>1</v>
      </c>
      <c r="N17" s="44" t="n">
        <v>1</v>
      </c>
      <c r="O17" s="22" t="n">
        <f aca="false">((Supuestos!$F$31)+(Supuestos!$F$35))/2*Supuestos!$F$10*Supuestos!$F$11*Supuestos!$F$12*$E17</f>
        <v>9899347.5</v>
      </c>
      <c r="P17" s="22" t="n">
        <f aca="false">O17*MIN(1,Supuestos!$F$41*$G17)*MIN(1,Supuestos!$F$44*$H17)</f>
        <v>1385908.65</v>
      </c>
      <c r="Q17" s="22" t="n">
        <f aca="false">O17*Supuestos!$F$47*$F17*(Supuestos!$F$7/Supuestos!$F$8*Supuestos!$F$9*$M17)+P17*(Supuestos!$F$7/Supuestos!$F$6)*(((1-Supuestos!$F$22)*Supuestos!$F$19+Supuestos!$F$22*Supuestos!$F$21)-((1-MIN(1,Supuestos!$F$50*$N17))*Supuestos!$F$19+MIN(1,Supuestos!$F$50*$N17)*Supuestos!$F$20))+P17*Supuestos!$F$23/60*Supuestos!$F$24*MIN(1,Supuestos!$F$53*$L17)</f>
        <v>132873.99181875</v>
      </c>
      <c r="R17" s="22" t="n">
        <f aca="false">((Supuestos!$F$31)+(Supuestos!$F$35))/2*Supuestos!$F$13*Supuestos!$F$18*12+P17*Supuestos!$F$25+P17*Supuestos!$F$56*$J17*(Supuestos!$F$26*(Supuestos!$F$7/Supuestos!$F$6)+Supuestos!$F$27)+P17*Supuestos!$F$28*Supuestos!$F$29+(Supuestos!$F$59+Supuestos!$F$62)*$K17</f>
        <v>1714321.3558275</v>
      </c>
      <c r="S17" s="22" t="n">
        <f aca="false">(Supuestos!$F$35-Supuestos!$F$31)*Supuestos!$F$13*Supuestos!$F$14*$I17*(1+Supuestos!$F$15)+MIN(Supuestos!$F$35-Supuestos!$F$31,Supuestos!$F$38)*Supuestos!$F$17+((Supuestos!$F$35-Supuestos!$F$31)-MIN(Supuestos!$F$35-Supuestos!$F$31,Supuestos!$F$38))*Supuestos!$F$16</f>
        <v>2411820</v>
      </c>
      <c r="T17" s="22" t="n">
        <f aca="false">Q17-R17-S17</f>
        <v>-3993267.36400875</v>
      </c>
      <c r="U17" s="22" t="n">
        <f aca="false">((Supuestos!$F$35)+(Supuestos!$F$36))/2*Supuestos!$F$10*Supuestos!$F$11*Supuestos!$F$12*$E17</f>
        <v>25754400</v>
      </c>
      <c r="V17" s="22" t="n">
        <f aca="false">U17*MIN(1,Supuestos!$F$42*$G17)*MIN(1,Supuestos!$F$45*$H17)</f>
        <v>5872003.2</v>
      </c>
      <c r="W17" s="22" t="n">
        <f aca="false">U17*Supuestos!$F$48*$F17*(Supuestos!$F$7/Supuestos!$F$8*Supuestos!$F$9*$M17)+V17*(Supuestos!$F$7/Supuestos!$F$6)*(((1-Supuestos!$F$22)*Supuestos!$F$19+Supuestos!$F$22*Supuestos!$F$21)-((1-MIN(1,Supuestos!$F$51*$N17))*Supuestos!$F$19+MIN(1,Supuestos!$F$51*$N17)*Supuestos!$F$20))+V17*Supuestos!$F$23/60*Supuestos!$F$24*MIN(1,Supuestos!$F$54*$L17)</f>
        <v>1418853.67848</v>
      </c>
      <c r="X17" s="22" t="n">
        <f aca="false">((Supuestos!$F$35)+(Supuestos!$F$36))/2*Supuestos!$F$13*Supuestos!$F$18*12+V17*Supuestos!$F$25+V17*Supuestos!$F$57*$J17*(Supuestos!$F$26*(Supuestos!$F$7/Supuestos!$F$6)+Supuestos!$F$27)+V17*Supuestos!$F$28*Supuestos!$F$29+(Supuestos!$F$60+Supuestos!$F$63)*$K17</f>
        <v>2343371.59072</v>
      </c>
      <c r="Y17" s="22" t="n">
        <f aca="false">(Supuestos!$F$36-Supuestos!$F$35)*Supuestos!$F$13*Supuestos!$F$14*$I17*(1+Supuestos!$F$15)+MIN(Supuestos!$F$36-Supuestos!$F$35,Supuestos!$F$39)*Supuestos!$F$17+((Supuestos!$F$36-Supuestos!$F$35)-MIN(Supuestos!$F$36-Supuestos!$F$35,Supuestos!$F$39))*Supuestos!$F$16</f>
        <v>1956800</v>
      </c>
      <c r="Z17" s="22" t="n">
        <f aca="false">W17-X17-Y17</f>
        <v>-2881317.91224</v>
      </c>
      <c r="AA17" s="22" t="n">
        <f aca="false">((Supuestos!$F$36)+(Supuestos!$F$37))/2*Supuestos!$F$10*Supuestos!$F$11*Supuestos!$F$12*$E17</f>
        <v>36217125</v>
      </c>
      <c r="AB17" s="22" t="n">
        <f aca="false">AA17*MIN(1,Supuestos!$F$43*$G17)*MIN(1,Supuestos!$F$46*$H17)</f>
        <v>11589480</v>
      </c>
      <c r="AC17" s="22" t="n">
        <f aca="false">AA17*Supuestos!$F$49*$F17*(Supuestos!$F$7/Supuestos!$F$8*Supuestos!$F$9*$M17)+AB17*(Supuestos!$F$7/Supuestos!$F$6)*(((1-Supuestos!$F$22)*Supuestos!$F$19+Supuestos!$F$22*Supuestos!$F$21)-((1-MIN(1,Supuestos!$F$52*$N17))*Supuestos!$F$19+MIN(1,Supuestos!$F$52*$N17)*Supuestos!$F$20))+AB17*Supuestos!$F$23/60*Supuestos!$F$24*MIN(1,Supuestos!$F$55*$L17)</f>
        <v>4083209.2153125</v>
      </c>
      <c r="AD17" s="22" t="n">
        <f aca="false">((Supuestos!$F$36)+(Supuestos!$F$37))/2*Supuestos!$F$13*Supuestos!$F$18*12+AB17*Supuestos!$F$25+AB17*Supuestos!$F$58*$J17*(Supuestos!$F$26*(Supuestos!$F$7/Supuestos!$F$6)+Supuestos!$F$27)+AB17*Supuestos!$F$28*Supuestos!$F$29+(Supuestos!$F$61+Supuestos!$F$64)*$K17</f>
        <v>2929951.718</v>
      </c>
      <c r="AE17" s="22" t="n">
        <f aca="false">(Supuestos!$F$37-Supuestos!$F$36)*Supuestos!$F$13*Supuestos!$F$14*$I17*(1+Supuestos!$F$15)+MIN(Supuestos!$F$37-Supuestos!$F$36,Supuestos!$F$40)*Supuestos!$F$17+((Supuestos!$F$37-Supuestos!$F$36)-MIN(Supuestos!$F$37-Supuestos!$F$36,Supuestos!$F$40))*Supuestos!$F$16</f>
        <v>1223000</v>
      </c>
      <c r="AF17" s="22" t="n">
        <f aca="false">AC17-AD17-AE17</f>
        <v>-69742.5026875008</v>
      </c>
      <c r="AG17" s="22" t="n">
        <f aca="false">((Supuestos!$F$37)+(Supuestos!$F$37))/2*Supuestos!$F$10*Supuestos!$F$11*Supuestos!$F$12*$E17</f>
        <v>40241250</v>
      </c>
      <c r="AH17" s="22" t="n">
        <f aca="false">AG17*MIN(1,Supuestos!$F$43*$G17)*MIN(1,Supuestos!$F$46*$H17)</f>
        <v>12877200</v>
      </c>
      <c r="AI17" s="22" t="n">
        <f aca="false">AG17*Supuestos!$F$49*$F17*(Supuestos!$F$7/Supuestos!$F$8*Supuestos!$F$9*$M17)+AH17*(Supuestos!$F$7/Supuestos!$F$6)*(((1-Supuestos!$F$22)*Supuestos!$F$19+Supuestos!$F$22*Supuestos!$F$21)-((1-MIN(1,Supuestos!$F$52*$N17))*Supuestos!$F$19+MIN(1,Supuestos!$F$52*$N17)*Supuestos!$F$20))+AH17*Supuestos!$F$23/60*Supuestos!$F$24*MIN(1,Supuestos!$F$55*$L17)</f>
        <v>4536899.128125</v>
      </c>
      <c r="AJ17" s="22" t="n">
        <f aca="false">((Supuestos!$F$37)+(Supuestos!$F$37))/2*Supuestos!$F$13*Supuestos!$F$18*12+AH17*Supuestos!$F$25+AH17*Supuestos!$F$58*$J17*(Supuestos!$F$26*(Supuestos!$F$7/Supuestos!$F$6)+Supuestos!$F$27)+AH17*Supuestos!$F$28*Supuestos!$F$29+(Supuestos!$F$61+Supuestos!$F$64)*$K17</f>
        <v>3116613.02</v>
      </c>
      <c r="AK17" s="22" t="n">
        <f aca="false">0</f>
        <v>0</v>
      </c>
      <c r="AL17" s="22" t="n">
        <f aca="false">AI17-AJ17-AK17</f>
        <v>1420286.108125</v>
      </c>
      <c r="AM17" s="22" t="n">
        <f aca="false">((Supuestos!$F$37)+(Supuestos!$F$37))/2*Supuestos!$F$10*Supuestos!$F$11*Supuestos!$F$12*$E17</f>
        <v>40241250</v>
      </c>
      <c r="AN17" s="22" t="n">
        <f aca="false">AM17*MIN(1,Supuestos!$F$43*$G17)*MIN(1,Supuestos!$F$46*$H17)</f>
        <v>12877200</v>
      </c>
      <c r="AO17" s="22" t="n">
        <f aca="false">AM17*Supuestos!$F$49*$F17*(Supuestos!$F$7/Supuestos!$F$8*Supuestos!$F$9*$M17)+AN17*(Supuestos!$F$7/Supuestos!$F$6)*(((1-Supuestos!$F$22)*Supuestos!$F$19+Supuestos!$F$22*Supuestos!$F$21)-((1-MIN(1,Supuestos!$F$52*$N17))*Supuestos!$F$19+MIN(1,Supuestos!$F$52*$N17)*Supuestos!$F$20))+AN17*Supuestos!$F$23/60*Supuestos!$F$24*MIN(1,Supuestos!$F$55*$L17)</f>
        <v>4536899.128125</v>
      </c>
      <c r="AP17" s="22" t="n">
        <f aca="false">((Supuestos!$F$37)+(Supuestos!$F$37))/2*Supuestos!$F$13*Supuestos!$F$18*12+AN17*Supuestos!$F$25+AN17*Supuestos!$F$58*$J17*(Supuestos!$F$26*(Supuestos!$F$7/Supuestos!$F$6)+Supuestos!$F$27)+AN17*Supuestos!$F$28*Supuestos!$F$29+(Supuestos!$F$61+Supuestos!$F$64)*$K17</f>
        <v>3116613.02</v>
      </c>
      <c r="AQ17" s="22" t="n">
        <f aca="false">0</f>
        <v>0</v>
      </c>
      <c r="AR17" s="22" t="n">
        <f aca="false">AO17-AP17-AQ17</f>
        <v>1420286.108125</v>
      </c>
    </row>
    <row r="18" customFormat="false" ht="15" hidden="false" customHeight="false" outlineLevel="0" collapsed="false">
      <c r="A18" s="7" t="s">
        <v>251</v>
      </c>
      <c r="B18" s="31" t="n">
        <f aca="false">NPV(Supuestos!$F$30,T18,Z18,AF18,AL18,AR18)</f>
        <v>-2515683.55029322</v>
      </c>
      <c r="C18" s="29" t="n">
        <f aca="false">B18-$B$5</f>
        <v>1158778.91527363</v>
      </c>
      <c r="D18" s="4"/>
      <c r="E18" s="44" t="n">
        <v>1</v>
      </c>
      <c r="F18" s="44" t="n">
        <v>1</v>
      </c>
      <c r="G18" s="44" t="n">
        <v>1</v>
      </c>
      <c r="H18" s="44" t="n">
        <v>1</v>
      </c>
      <c r="I18" s="44" t="n">
        <v>1</v>
      </c>
      <c r="J18" s="44" t="n">
        <v>1</v>
      </c>
      <c r="K18" s="44" t="n">
        <v>0.75</v>
      </c>
      <c r="L18" s="44" t="n">
        <v>1</v>
      </c>
      <c r="M18" s="44" t="n">
        <v>1</v>
      </c>
      <c r="N18" s="44" t="n">
        <v>1</v>
      </c>
      <c r="O18" s="22" t="n">
        <f aca="false">((Supuestos!$F$31)+(Supuestos!$F$35))/2*Supuestos!$F$10*Supuestos!$F$11*Supuestos!$F$12*$E18</f>
        <v>9899347.5</v>
      </c>
      <c r="P18" s="22" t="n">
        <f aca="false">O18*MIN(1,Supuestos!$F$41*$G18)*MIN(1,Supuestos!$F$44*$H18)</f>
        <v>1385908.65</v>
      </c>
      <c r="Q18" s="22" t="n">
        <f aca="false">O18*Supuestos!$F$47*$F18*(Supuestos!$F$7/Supuestos!$F$8*Supuestos!$F$9*$M18)+P18*(Supuestos!$F$7/Supuestos!$F$6)*(((1-Supuestos!$F$22)*Supuestos!$F$19+Supuestos!$F$22*Supuestos!$F$21)-((1-MIN(1,Supuestos!$F$50*$N18))*Supuestos!$F$19+MIN(1,Supuestos!$F$50*$N18)*Supuestos!$F$20))+P18*Supuestos!$F$23/60*Supuestos!$F$24*MIN(1,Supuestos!$F$53*$L18)</f>
        <v>132873.99181875</v>
      </c>
      <c r="R18" s="22" t="n">
        <f aca="false">((Supuestos!$F$31)+(Supuestos!$F$35))/2*Supuestos!$F$13*Supuestos!$F$18*12+P18*Supuestos!$F$25+P18*Supuestos!$F$56*$J18*(Supuestos!$F$26*(Supuestos!$F$7/Supuestos!$F$6)+Supuestos!$F$27)+P18*Supuestos!$F$28*Supuestos!$F$29+(Supuestos!$F$59+Supuestos!$F$62)*$K18</f>
        <v>1335036.21003</v>
      </c>
      <c r="S18" s="22" t="n">
        <f aca="false">(Supuestos!$F$35-Supuestos!$F$31)*Supuestos!$F$13*Supuestos!$F$14*$I18*(1+Supuestos!$F$15)+MIN(Supuestos!$F$35-Supuestos!$F$31,Supuestos!$F$38)*Supuestos!$F$17+((Supuestos!$F$35-Supuestos!$F$31)-MIN(Supuestos!$F$35-Supuestos!$F$31,Supuestos!$F$38))*Supuestos!$F$16</f>
        <v>2411820</v>
      </c>
      <c r="T18" s="22" t="n">
        <f aca="false">Q18-R18-S18</f>
        <v>-3613982.21821125</v>
      </c>
      <c r="U18" s="22" t="n">
        <f aca="false">((Supuestos!$F$35)+(Supuestos!$F$36))/2*Supuestos!$F$10*Supuestos!$F$11*Supuestos!$F$12*$E18</f>
        <v>25754400</v>
      </c>
      <c r="V18" s="22" t="n">
        <f aca="false">U18*MIN(1,Supuestos!$F$42*$G18)*MIN(1,Supuestos!$F$45*$H18)</f>
        <v>5872003.2</v>
      </c>
      <c r="W18" s="22" t="n">
        <f aca="false">U18*Supuestos!$F$48*$F18*(Supuestos!$F$7/Supuestos!$F$8*Supuestos!$F$9*$M18)+V18*(Supuestos!$F$7/Supuestos!$F$6)*(((1-Supuestos!$F$22)*Supuestos!$F$19+Supuestos!$F$22*Supuestos!$F$21)-((1-MIN(1,Supuestos!$F$51*$N18))*Supuestos!$F$19+MIN(1,Supuestos!$F$51*$N18)*Supuestos!$F$20))+V18*Supuestos!$F$23/60*Supuestos!$F$24*MIN(1,Supuestos!$F$54*$L18)</f>
        <v>1418853.67848</v>
      </c>
      <c r="X18" s="22" t="n">
        <f aca="false">((Supuestos!$F$35)+(Supuestos!$F$36))/2*Supuestos!$F$13*Supuestos!$F$18*12+V18*Supuestos!$F$25+V18*Supuestos!$F$57*$J18*(Supuestos!$F$26*(Supuestos!$F$7/Supuestos!$F$6)+Supuestos!$F$27)+V18*Supuestos!$F$28*Supuestos!$F$29+(Supuestos!$F$60+Supuestos!$F$63)*$K18</f>
        <v>1900344.3264</v>
      </c>
      <c r="Y18" s="22" t="n">
        <f aca="false">(Supuestos!$F$36-Supuestos!$F$35)*Supuestos!$F$13*Supuestos!$F$14*$I18*(1+Supuestos!$F$15)+MIN(Supuestos!$F$36-Supuestos!$F$35,Supuestos!$F$39)*Supuestos!$F$17+((Supuestos!$F$36-Supuestos!$F$35)-MIN(Supuestos!$F$36-Supuestos!$F$35,Supuestos!$F$39))*Supuestos!$F$16</f>
        <v>1956800</v>
      </c>
      <c r="Z18" s="22" t="n">
        <f aca="false">W18-X18-Y18</f>
        <v>-2438290.64792</v>
      </c>
      <c r="AA18" s="22" t="n">
        <f aca="false">((Supuestos!$F$36)+(Supuestos!$F$37))/2*Supuestos!$F$10*Supuestos!$F$11*Supuestos!$F$12*$E18</f>
        <v>36217125</v>
      </c>
      <c r="AB18" s="22" t="n">
        <f aca="false">AA18*MIN(1,Supuestos!$F$43*$G18)*MIN(1,Supuestos!$F$46*$H18)</f>
        <v>11589480</v>
      </c>
      <c r="AC18" s="22" t="n">
        <f aca="false">AA18*Supuestos!$F$49*$F18*(Supuestos!$F$7/Supuestos!$F$8*Supuestos!$F$9*$M18)+AB18*(Supuestos!$F$7/Supuestos!$F$6)*(((1-Supuestos!$F$22)*Supuestos!$F$19+Supuestos!$F$22*Supuestos!$F$21)-((1-MIN(1,Supuestos!$F$52*$N18))*Supuestos!$F$19+MIN(1,Supuestos!$F$52*$N18)*Supuestos!$F$20))+AB18*Supuestos!$F$23/60*Supuestos!$F$24*MIN(1,Supuestos!$F$55*$L18)</f>
        <v>4083209.2153125</v>
      </c>
      <c r="AD18" s="22" t="n">
        <f aca="false">((Supuestos!$F$36)+(Supuestos!$F$37))/2*Supuestos!$F$13*Supuestos!$F$18*12+AB18*Supuestos!$F$25+AB18*Supuestos!$F$58*$J18*(Supuestos!$F$26*(Supuestos!$F$7/Supuestos!$F$6)+Supuestos!$F$27)+AB18*Supuestos!$F$28*Supuestos!$F$29+(Supuestos!$F$61+Supuestos!$F$64)*$K18</f>
        <v>2423327.928</v>
      </c>
      <c r="AE18" s="22" t="n">
        <f aca="false">(Supuestos!$F$37-Supuestos!$F$36)*Supuestos!$F$13*Supuestos!$F$14*$I18*(1+Supuestos!$F$15)+MIN(Supuestos!$F$37-Supuestos!$F$36,Supuestos!$F$40)*Supuestos!$F$17+((Supuestos!$F$37-Supuestos!$F$36)-MIN(Supuestos!$F$37-Supuestos!$F$36,Supuestos!$F$40))*Supuestos!$F$16</f>
        <v>1223000</v>
      </c>
      <c r="AF18" s="22" t="n">
        <f aca="false">AC18-AD18-AE18</f>
        <v>436881.287312499</v>
      </c>
      <c r="AG18" s="22" t="n">
        <f aca="false">((Supuestos!$F$37)+(Supuestos!$F$37))/2*Supuestos!$F$10*Supuestos!$F$11*Supuestos!$F$12*$E18</f>
        <v>40241250</v>
      </c>
      <c r="AH18" s="22" t="n">
        <f aca="false">AG18*MIN(1,Supuestos!$F$43*$G18)*MIN(1,Supuestos!$F$46*$H18)</f>
        <v>12877200</v>
      </c>
      <c r="AI18" s="22" t="n">
        <f aca="false">AG18*Supuestos!$F$49*$F18*(Supuestos!$F$7/Supuestos!$F$8*Supuestos!$F$9*$M18)+AH18*(Supuestos!$F$7/Supuestos!$F$6)*(((1-Supuestos!$F$22)*Supuestos!$F$19+Supuestos!$F$22*Supuestos!$F$21)-((1-MIN(1,Supuestos!$F$52*$N18))*Supuestos!$F$19+MIN(1,Supuestos!$F$52*$N18)*Supuestos!$F$20))+AH18*Supuestos!$F$23/60*Supuestos!$F$24*MIN(1,Supuestos!$F$55*$L18)</f>
        <v>4536899.128125</v>
      </c>
      <c r="AJ18" s="22" t="n">
        <f aca="false">((Supuestos!$F$37)+(Supuestos!$F$37))/2*Supuestos!$F$13*Supuestos!$F$18*12+AH18*Supuestos!$F$25+AH18*Supuestos!$F$58*$J18*(Supuestos!$F$26*(Supuestos!$F$7/Supuestos!$F$6)+Supuestos!$F$27)+AH18*Supuestos!$F$28*Supuestos!$F$29+(Supuestos!$F$61+Supuestos!$F$64)*$K18</f>
        <v>2588419.92</v>
      </c>
      <c r="AK18" s="22" t="n">
        <f aca="false">0</f>
        <v>0</v>
      </c>
      <c r="AL18" s="22" t="n">
        <f aca="false">AI18-AJ18-AK18</f>
        <v>1948479.208125</v>
      </c>
      <c r="AM18" s="22" t="n">
        <f aca="false">((Supuestos!$F$37)+(Supuestos!$F$37))/2*Supuestos!$F$10*Supuestos!$F$11*Supuestos!$F$12*$E18</f>
        <v>40241250</v>
      </c>
      <c r="AN18" s="22" t="n">
        <f aca="false">AM18*MIN(1,Supuestos!$F$43*$G18)*MIN(1,Supuestos!$F$46*$H18)</f>
        <v>12877200</v>
      </c>
      <c r="AO18" s="22" t="n">
        <f aca="false">AM18*Supuestos!$F$49*$F18*(Supuestos!$F$7/Supuestos!$F$8*Supuestos!$F$9*$M18)+AN18*(Supuestos!$F$7/Supuestos!$F$6)*(((1-Supuestos!$F$22)*Supuestos!$F$19+Supuestos!$F$22*Supuestos!$F$21)-((1-MIN(1,Supuestos!$F$52*$N18))*Supuestos!$F$19+MIN(1,Supuestos!$F$52*$N18)*Supuestos!$F$20))+AN18*Supuestos!$F$23/60*Supuestos!$F$24*MIN(1,Supuestos!$F$55*$L18)</f>
        <v>4536899.128125</v>
      </c>
      <c r="AP18" s="22" t="n">
        <f aca="false">((Supuestos!$F$37)+(Supuestos!$F$37))/2*Supuestos!$F$13*Supuestos!$F$18*12+AN18*Supuestos!$F$25+AN18*Supuestos!$F$58*$J18*(Supuestos!$F$26*(Supuestos!$F$7/Supuestos!$F$6)+Supuestos!$F$27)+AN18*Supuestos!$F$28*Supuestos!$F$29+(Supuestos!$F$61+Supuestos!$F$64)*$K18</f>
        <v>2588419.92</v>
      </c>
      <c r="AQ18" s="22" t="n">
        <f aca="false">0</f>
        <v>0</v>
      </c>
      <c r="AR18" s="22" t="n">
        <f aca="false">AO18-AP18-AQ18</f>
        <v>1948479.208125</v>
      </c>
    </row>
    <row r="19" customFormat="false" ht="15" hidden="false" customHeight="false" outlineLevel="0" collapsed="false">
      <c r="A19" s="7" t="s">
        <v>252</v>
      </c>
      <c r="B19" s="31" t="n">
        <f aca="false">NPV(Supuestos!$F$30,T19,Z19,AF19,AL19,AR19)</f>
        <v>-4833241.38084048</v>
      </c>
      <c r="C19" s="29" t="n">
        <f aca="false">B19-$B$5</f>
        <v>-1158778.91527363</v>
      </c>
      <c r="D19" s="4"/>
      <c r="E19" s="44" t="n">
        <v>1</v>
      </c>
      <c r="F19" s="44" t="n">
        <v>1</v>
      </c>
      <c r="G19" s="44" t="n">
        <v>1</v>
      </c>
      <c r="H19" s="44" t="n">
        <v>1</v>
      </c>
      <c r="I19" s="44" t="n">
        <v>1</v>
      </c>
      <c r="J19" s="44" t="n">
        <v>1</v>
      </c>
      <c r="K19" s="44" t="n">
        <v>1.25</v>
      </c>
      <c r="L19" s="44" t="n">
        <v>1</v>
      </c>
      <c r="M19" s="44" t="n">
        <v>1</v>
      </c>
      <c r="N19" s="44" t="n">
        <v>1</v>
      </c>
      <c r="O19" s="22" t="n">
        <f aca="false">((Supuestos!$F$31)+(Supuestos!$F$35))/2*Supuestos!$F$10*Supuestos!$F$11*Supuestos!$F$12*$E19</f>
        <v>9899347.5</v>
      </c>
      <c r="P19" s="22" t="n">
        <f aca="false">O19*MIN(1,Supuestos!$F$41*$G19)*MIN(1,Supuestos!$F$44*$H19)</f>
        <v>1385908.65</v>
      </c>
      <c r="Q19" s="22" t="n">
        <f aca="false">O19*Supuestos!$F$47*$F19*(Supuestos!$F$7/Supuestos!$F$8*Supuestos!$F$9*$M19)+P19*(Supuestos!$F$7/Supuestos!$F$6)*(((1-Supuestos!$F$22)*Supuestos!$F$19+Supuestos!$F$22*Supuestos!$F$21)-((1-MIN(1,Supuestos!$F$50*$N19))*Supuestos!$F$19+MIN(1,Supuestos!$F$50*$N19)*Supuestos!$F$20))+P19*Supuestos!$F$23/60*Supuestos!$F$24*MIN(1,Supuestos!$F$53*$L19)</f>
        <v>132873.99181875</v>
      </c>
      <c r="R19" s="22" t="n">
        <f aca="false">((Supuestos!$F$31)+(Supuestos!$F$35))/2*Supuestos!$F$13*Supuestos!$F$18*12+P19*Supuestos!$F$25+P19*Supuestos!$F$56*$J19*(Supuestos!$F$26*(Supuestos!$F$7/Supuestos!$F$6)+Supuestos!$F$27)+P19*Supuestos!$F$28*Supuestos!$F$29+(Supuestos!$F$59+Supuestos!$F$62)*$K19</f>
        <v>2010036.21003</v>
      </c>
      <c r="S19" s="22" t="n">
        <f aca="false">(Supuestos!$F$35-Supuestos!$F$31)*Supuestos!$F$13*Supuestos!$F$14*$I19*(1+Supuestos!$F$15)+MIN(Supuestos!$F$35-Supuestos!$F$31,Supuestos!$F$38)*Supuestos!$F$17+((Supuestos!$F$35-Supuestos!$F$31)-MIN(Supuestos!$F$35-Supuestos!$F$31,Supuestos!$F$38))*Supuestos!$F$16</f>
        <v>2411820</v>
      </c>
      <c r="T19" s="22" t="n">
        <f aca="false">Q19-R19-S19</f>
        <v>-4288982.21821125</v>
      </c>
      <c r="U19" s="22" t="n">
        <f aca="false">((Supuestos!$F$35)+(Supuestos!$F$36))/2*Supuestos!$F$10*Supuestos!$F$11*Supuestos!$F$12*$E19</f>
        <v>25754400</v>
      </c>
      <c r="V19" s="22" t="n">
        <f aca="false">U19*MIN(1,Supuestos!$F$42*$G19)*MIN(1,Supuestos!$F$45*$H19)</f>
        <v>5872003.2</v>
      </c>
      <c r="W19" s="22" t="n">
        <f aca="false">U19*Supuestos!$F$48*$F19*(Supuestos!$F$7/Supuestos!$F$8*Supuestos!$F$9*$M19)+V19*(Supuestos!$F$7/Supuestos!$F$6)*(((1-Supuestos!$F$22)*Supuestos!$F$19+Supuestos!$F$22*Supuestos!$F$21)-((1-MIN(1,Supuestos!$F$51*$N19))*Supuestos!$F$19+MIN(1,Supuestos!$F$51*$N19)*Supuestos!$F$20))+V19*Supuestos!$F$23/60*Supuestos!$F$24*MIN(1,Supuestos!$F$54*$L19)</f>
        <v>1418853.67848</v>
      </c>
      <c r="X19" s="22" t="n">
        <f aca="false">((Supuestos!$F$35)+(Supuestos!$F$36))/2*Supuestos!$F$13*Supuestos!$F$18*12+V19*Supuestos!$F$25+V19*Supuestos!$F$57*$J19*(Supuestos!$F$26*(Supuestos!$F$7/Supuestos!$F$6)+Supuestos!$F$27)+V19*Supuestos!$F$28*Supuestos!$F$29+(Supuestos!$F$60+Supuestos!$F$63)*$K19</f>
        <v>2550344.3264</v>
      </c>
      <c r="Y19" s="22" t="n">
        <f aca="false">(Supuestos!$F$36-Supuestos!$F$35)*Supuestos!$F$13*Supuestos!$F$14*$I19*(1+Supuestos!$F$15)+MIN(Supuestos!$F$36-Supuestos!$F$35,Supuestos!$F$39)*Supuestos!$F$17+((Supuestos!$F$36-Supuestos!$F$35)-MIN(Supuestos!$F$36-Supuestos!$F$35,Supuestos!$F$39))*Supuestos!$F$16</f>
        <v>1956800</v>
      </c>
      <c r="Z19" s="22" t="n">
        <f aca="false">W19-X19-Y19</f>
        <v>-3088290.64792</v>
      </c>
      <c r="AA19" s="22" t="n">
        <f aca="false">((Supuestos!$F$36)+(Supuestos!$F$37))/2*Supuestos!$F$10*Supuestos!$F$11*Supuestos!$F$12*$E19</f>
        <v>36217125</v>
      </c>
      <c r="AB19" s="22" t="n">
        <f aca="false">AA19*MIN(1,Supuestos!$F$43*$G19)*MIN(1,Supuestos!$F$46*$H19)</f>
        <v>11589480</v>
      </c>
      <c r="AC19" s="22" t="n">
        <f aca="false">AA19*Supuestos!$F$49*$F19*(Supuestos!$F$7/Supuestos!$F$8*Supuestos!$F$9*$M19)+AB19*(Supuestos!$F$7/Supuestos!$F$6)*(((1-Supuestos!$F$22)*Supuestos!$F$19+Supuestos!$F$22*Supuestos!$F$21)-((1-MIN(1,Supuestos!$F$52*$N19))*Supuestos!$F$19+MIN(1,Supuestos!$F$52*$N19)*Supuestos!$F$20))+AB19*Supuestos!$F$23/60*Supuestos!$F$24*MIN(1,Supuestos!$F$55*$L19)</f>
        <v>4083209.2153125</v>
      </c>
      <c r="AD19" s="22" t="n">
        <f aca="false">((Supuestos!$F$36)+(Supuestos!$F$37))/2*Supuestos!$F$13*Supuestos!$F$18*12+AB19*Supuestos!$F$25+AB19*Supuestos!$F$58*$J19*(Supuestos!$F$26*(Supuestos!$F$7/Supuestos!$F$6)+Supuestos!$F$27)+AB19*Supuestos!$F$28*Supuestos!$F$29+(Supuestos!$F$61+Supuestos!$F$64)*$K19</f>
        <v>3048327.928</v>
      </c>
      <c r="AE19" s="22" t="n">
        <f aca="false">(Supuestos!$F$37-Supuestos!$F$36)*Supuestos!$F$13*Supuestos!$F$14*$I19*(1+Supuestos!$F$15)+MIN(Supuestos!$F$37-Supuestos!$F$36,Supuestos!$F$40)*Supuestos!$F$17+((Supuestos!$F$37-Supuestos!$F$36)-MIN(Supuestos!$F$37-Supuestos!$F$36,Supuestos!$F$40))*Supuestos!$F$16</f>
        <v>1223000</v>
      </c>
      <c r="AF19" s="22" t="n">
        <f aca="false">AC19-AD19-AE19</f>
        <v>-188118.712687501</v>
      </c>
      <c r="AG19" s="22" t="n">
        <f aca="false">((Supuestos!$F$37)+(Supuestos!$F$37))/2*Supuestos!$F$10*Supuestos!$F$11*Supuestos!$F$12*$E19</f>
        <v>40241250</v>
      </c>
      <c r="AH19" s="22" t="n">
        <f aca="false">AG19*MIN(1,Supuestos!$F$43*$G19)*MIN(1,Supuestos!$F$46*$H19)</f>
        <v>12877200</v>
      </c>
      <c r="AI19" s="22" t="n">
        <f aca="false">AG19*Supuestos!$F$49*$F19*(Supuestos!$F$7/Supuestos!$F$8*Supuestos!$F$9*$M19)+AH19*(Supuestos!$F$7/Supuestos!$F$6)*(((1-Supuestos!$F$22)*Supuestos!$F$19+Supuestos!$F$22*Supuestos!$F$21)-((1-MIN(1,Supuestos!$F$52*$N19))*Supuestos!$F$19+MIN(1,Supuestos!$F$52*$N19)*Supuestos!$F$20))+AH19*Supuestos!$F$23/60*Supuestos!$F$24*MIN(1,Supuestos!$F$55*$L19)</f>
        <v>4536899.128125</v>
      </c>
      <c r="AJ19" s="22" t="n">
        <f aca="false">((Supuestos!$F$37)+(Supuestos!$F$37))/2*Supuestos!$F$13*Supuestos!$F$18*12+AH19*Supuestos!$F$25+AH19*Supuestos!$F$58*$J19*(Supuestos!$F$26*(Supuestos!$F$7/Supuestos!$F$6)+Supuestos!$F$27)+AH19*Supuestos!$F$28*Supuestos!$F$29+(Supuestos!$F$61+Supuestos!$F$64)*$K19</f>
        <v>3213419.92</v>
      </c>
      <c r="AK19" s="22" t="n">
        <f aca="false">0</f>
        <v>0</v>
      </c>
      <c r="AL19" s="22" t="n">
        <f aca="false">AI19-AJ19-AK19</f>
        <v>1323479.208125</v>
      </c>
      <c r="AM19" s="22" t="n">
        <f aca="false">((Supuestos!$F$37)+(Supuestos!$F$37))/2*Supuestos!$F$10*Supuestos!$F$11*Supuestos!$F$12*$E19</f>
        <v>40241250</v>
      </c>
      <c r="AN19" s="22" t="n">
        <f aca="false">AM19*MIN(1,Supuestos!$F$43*$G19)*MIN(1,Supuestos!$F$46*$H19)</f>
        <v>12877200</v>
      </c>
      <c r="AO19" s="22" t="n">
        <f aca="false">AM19*Supuestos!$F$49*$F19*(Supuestos!$F$7/Supuestos!$F$8*Supuestos!$F$9*$M19)+AN19*(Supuestos!$F$7/Supuestos!$F$6)*(((1-Supuestos!$F$22)*Supuestos!$F$19+Supuestos!$F$22*Supuestos!$F$21)-((1-MIN(1,Supuestos!$F$52*$N19))*Supuestos!$F$19+MIN(1,Supuestos!$F$52*$N19)*Supuestos!$F$20))+AN19*Supuestos!$F$23/60*Supuestos!$F$24*MIN(1,Supuestos!$F$55*$L19)</f>
        <v>4536899.128125</v>
      </c>
      <c r="AP19" s="22" t="n">
        <f aca="false">((Supuestos!$F$37)+(Supuestos!$F$37))/2*Supuestos!$F$13*Supuestos!$F$18*12+AN19*Supuestos!$F$25+AN19*Supuestos!$F$58*$J19*(Supuestos!$F$26*(Supuestos!$F$7/Supuestos!$F$6)+Supuestos!$F$27)+AN19*Supuestos!$F$28*Supuestos!$F$29+(Supuestos!$F$61+Supuestos!$F$64)*$K19</f>
        <v>3213419.92</v>
      </c>
      <c r="AQ19" s="22" t="n">
        <f aca="false">0</f>
        <v>0</v>
      </c>
      <c r="AR19" s="22" t="n">
        <f aca="false">AO19-AP19-AQ19</f>
        <v>1323479.208125</v>
      </c>
    </row>
    <row r="20" customFormat="false" ht="15" hidden="false" customHeight="false" outlineLevel="0" collapsed="false">
      <c r="A20" s="7" t="s">
        <v>253</v>
      </c>
      <c r="B20" s="31" t="n">
        <f aca="false">NPV(Supuestos!$F$30,T20,Z20,AF20,AL20,AR20)</f>
        <v>-4495991.53605872</v>
      </c>
      <c r="C20" s="29" t="n">
        <f aca="false">B20-$B$5</f>
        <v>-821529.070491869</v>
      </c>
      <c r="D20" s="4"/>
      <c r="E20" s="44" t="n">
        <v>1</v>
      </c>
      <c r="F20" s="44" t="n">
        <v>1</v>
      </c>
      <c r="G20" s="44" t="n">
        <v>1</v>
      </c>
      <c r="H20" s="44" t="n">
        <v>1</v>
      </c>
      <c r="I20" s="44" t="n">
        <v>1</v>
      </c>
      <c r="J20" s="44" t="n">
        <v>1</v>
      </c>
      <c r="K20" s="44" t="n">
        <v>1</v>
      </c>
      <c r="L20" s="44" t="n">
        <v>0.75</v>
      </c>
      <c r="M20" s="44" t="n">
        <v>1</v>
      </c>
      <c r="N20" s="44" t="n">
        <v>1</v>
      </c>
      <c r="O20" s="22" t="n">
        <f aca="false">((Supuestos!$F$31)+(Supuestos!$F$35))/2*Supuestos!$F$10*Supuestos!$F$11*Supuestos!$F$12*$E20</f>
        <v>9899347.5</v>
      </c>
      <c r="P20" s="22" t="n">
        <f aca="false">O20*MIN(1,Supuestos!$F$41*$G20)*MIN(1,Supuestos!$F$44*$H20)</f>
        <v>1385908.65</v>
      </c>
      <c r="Q20" s="22" t="n">
        <f aca="false">O20*Supuestos!$F$47*$F20*(Supuestos!$F$7/Supuestos!$F$8*Supuestos!$F$9*$M20)+P20*(Supuestos!$F$7/Supuestos!$F$6)*(((1-Supuestos!$F$22)*Supuestos!$F$19+Supuestos!$F$22*Supuestos!$F$21)-((1-MIN(1,Supuestos!$F$50*$N20))*Supuestos!$F$19+MIN(1,Supuestos!$F$50*$N20)*Supuestos!$F$20))+P20*Supuestos!$F$23/60*Supuestos!$F$24*MIN(1,Supuestos!$F$53*$L20)</f>
        <v>132873.99181875</v>
      </c>
      <c r="R20" s="22" t="n">
        <f aca="false">((Supuestos!$F$31)+(Supuestos!$F$35))/2*Supuestos!$F$13*Supuestos!$F$18*12+P20*Supuestos!$F$25+P20*Supuestos!$F$56*$J20*(Supuestos!$F$26*(Supuestos!$F$7/Supuestos!$F$6)+Supuestos!$F$27)+P20*Supuestos!$F$28*Supuestos!$F$29+(Supuestos!$F$59+Supuestos!$F$62)*$K20</f>
        <v>1672536.21003</v>
      </c>
      <c r="S20" s="22" t="n">
        <f aca="false">(Supuestos!$F$35-Supuestos!$F$31)*Supuestos!$F$13*Supuestos!$F$14*$I20*(1+Supuestos!$F$15)+MIN(Supuestos!$F$35-Supuestos!$F$31,Supuestos!$F$38)*Supuestos!$F$17+((Supuestos!$F$35-Supuestos!$F$31)-MIN(Supuestos!$F$35-Supuestos!$F$31,Supuestos!$F$38))*Supuestos!$F$16</f>
        <v>2411820</v>
      </c>
      <c r="T20" s="22" t="n">
        <f aca="false">Q20-R20-S20</f>
        <v>-3951482.21821125</v>
      </c>
      <c r="U20" s="22" t="n">
        <f aca="false">((Supuestos!$F$35)+(Supuestos!$F$36))/2*Supuestos!$F$10*Supuestos!$F$11*Supuestos!$F$12*$E20</f>
        <v>25754400</v>
      </c>
      <c r="V20" s="22" t="n">
        <f aca="false">U20*MIN(1,Supuestos!$F$42*$G20)*MIN(1,Supuestos!$F$45*$H20)</f>
        <v>5872003.2</v>
      </c>
      <c r="W20" s="22" t="n">
        <f aca="false">U20*Supuestos!$F$48*$F20*(Supuestos!$F$7/Supuestos!$F$8*Supuestos!$F$9*$M20)+V20*(Supuestos!$F$7/Supuestos!$F$6)*(((1-Supuestos!$F$22)*Supuestos!$F$19+Supuestos!$F$22*Supuestos!$F$21)-((1-MIN(1,Supuestos!$F$51*$N20))*Supuestos!$F$19+MIN(1,Supuestos!$F$51*$N20)*Supuestos!$F$20))+V20*Supuestos!$F$23/60*Supuestos!$F$24*MIN(1,Supuestos!$F$54*$L20)</f>
        <v>1326369.62808</v>
      </c>
      <c r="X20" s="22" t="n">
        <f aca="false">((Supuestos!$F$35)+(Supuestos!$F$36))/2*Supuestos!$F$13*Supuestos!$F$18*12+V20*Supuestos!$F$25+V20*Supuestos!$F$57*$J20*(Supuestos!$F$26*(Supuestos!$F$7/Supuestos!$F$6)+Supuestos!$F$27)+V20*Supuestos!$F$28*Supuestos!$F$29+(Supuestos!$F$60+Supuestos!$F$63)*$K20</f>
        <v>2225344.3264</v>
      </c>
      <c r="Y20" s="22" t="n">
        <f aca="false">(Supuestos!$F$36-Supuestos!$F$35)*Supuestos!$F$13*Supuestos!$F$14*$I20*(1+Supuestos!$F$15)+MIN(Supuestos!$F$36-Supuestos!$F$35,Supuestos!$F$39)*Supuestos!$F$17+((Supuestos!$F$36-Supuestos!$F$35)-MIN(Supuestos!$F$36-Supuestos!$F$35,Supuestos!$F$39))*Supuestos!$F$16</f>
        <v>1956800</v>
      </c>
      <c r="Z20" s="22" t="n">
        <f aca="false">W20-X20-Y20</f>
        <v>-2855774.69832</v>
      </c>
      <c r="AA20" s="22" t="n">
        <f aca="false">((Supuestos!$F$36)+(Supuestos!$F$37))/2*Supuestos!$F$10*Supuestos!$F$11*Supuestos!$F$12*$E20</f>
        <v>36217125</v>
      </c>
      <c r="AB20" s="22" t="n">
        <f aca="false">AA20*MIN(1,Supuestos!$F$43*$G20)*MIN(1,Supuestos!$F$46*$H20)</f>
        <v>11589480</v>
      </c>
      <c r="AC20" s="22" t="n">
        <f aca="false">AA20*Supuestos!$F$49*$F20*(Supuestos!$F$7/Supuestos!$F$8*Supuestos!$F$9*$M20)+AB20*(Supuestos!$F$7/Supuestos!$F$6)*(((1-Supuestos!$F$22)*Supuestos!$F$19+Supuestos!$F$22*Supuestos!$F$21)-((1-MIN(1,Supuestos!$F$52*$N20))*Supuestos!$F$19+MIN(1,Supuestos!$F$52*$N20)*Supuestos!$F$20))+AB20*Supuestos!$F$23/60*Supuestos!$F$24*MIN(1,Supuestos!$F$55*$L20)</f>
        <v>3718140.5953125</v>
      </c>
      <c r="AD20" s="22" t="n">
        <f aca="false">((Supuestos!$F$36)+(Supuestos!$F$37))/2*Supuestos!$F$13*Supuestos!$F$18*12+AB20*Supuestos!$F$25+AB20*Supuestos!$F$58*$J20*(Supuestos!$F$26*(Supuestos!$F$7/Supuestos!$F$6)+Supuestos!$F$27)+AB20*Supuestos!$F$28*Supuestos!$F$29+(Supuestos!$F$61+Supuestos!$F$64)*$K20</f>
        <v>2735827.928</v>
      </c>
      <c r="AE20" s="22" t="n">
        <f aca="false">(Supuestos!$F$37-Supuestos!$F$36)*Supuestos!$F$13*Supuestos!$F$14*$I20*(1+Supuestos!$F$15)+MIN(Supuestos!$F$37-Supuestos!$F$36,Supuestos!$F$40)*Supuestos!$F$17+((Supuestos!$F$37-Supuestos!$F$36)-MIN(Supuestos!$F$37-Supuestos!$F$36,Supuestos!$F$40))*Supuestos!$F$16</f>
        <v>1223000</v>
      </c>
      <c r="AF20" s="22" t="n">
        <f aca="false">AC20-AD20-AE20</f>
        <v>-240687.332687501</v>
      </c>
      <c r="AG20" s="22" t="n">
        <f aca="false">((Supuestos!$F$37)+(Supuestos!$F$37))/2*Supuestos!$F$10*Supuestos!$F$11*Supuestos!$F$12*$E20</f>
        <v>40241250</v>
      </c>
      <c r="AH20" s="22" t="n">
        <f aca="false">AG20*MIN(1,Supuestos!$F$43*$G20)*MIN(1,Supuestos!$F$46*$H20)</f>
        <v>12877200</v>
      </c>
      <c r="AI20" s="22" t="n">
        <f aca="false">AG20*Supuestos!$F$49*$F20*(Supuestos!$F$7/Supuestos!$F$8*Supuestos!$F$9*$M20)+AH20*(Supuestos!$F$7/Supuestos!$F$6)*(((1-Supuestos!$F$22)*Supuestos!$F$19+Supuestos!$F$22*Supuestos!$F$21)-((1-MIN(1,Supuestos!$F$52*$N20))*Supuestos!$F$19+MIN(1,Supuestos!$F$52*$N20)*Supuestos!$F$20))+AH20*Supuestos!$F$23/60*Supuestos!$F$24*MIN(1,Supuestos!$F$55*$L20)</f>
        <v>4131267.328125</v>
      </c>
      <c r="AJ20" s="22" t="n">
        <f aca="false">((Supuestos!$F$37)+(Supuestos!$F$37))/2*Supuestos!$F$13*Supuestos!$F$18*12+AH20*Supuestos!$F$25+AH20*Supuestos!$F$58*$J20*(Supuestos!$F$26*(Supuestos!$F$7/Supuestos!$F$6)+Supuestos!$F$27)+AH20*Supuestos!$F$28*Supuestos!$F$29+(Supuestos!$F$61+Supuestos!$F$64)*$K20</f>
        <v>2900919.92</v>
      </c>
      <c r="AK20" s="22" t="n">
        <f aca="false">0</f>
        <v>0</v>
      </c>
      <c r="AL20" s="22" t="n">
        <f aca="false">AI20-AJ20-AK20</f>
        <v>1230347.408125</v>
      </c>
      <c r="AM20" s="22" t="n">
        <f aca="false">((Supuestos!$F$37)+(Supuestos!$F$37))/2*Supuestos!$F$10*Supuestos!$F$11*Supuestos!$F$12*$E20</f>
        <v>40241250</v>
      </c>
      <c r="AN20" s="22" t="n">
        <f aca="false">AM20*MIN(1,Supuestos!$F$43*$G20)*MIN(1,Supuestos!$F$46*$H20)</f>
        <v>12877200</v>
      </c>
      <c r="AO20" s="22" t="n">
        <f aca="false">AM20*Supuestos!$F$49*$F20*(Supuestos!$F$7/Supuestos!$F$8*Supuestos!$F$9*$M20)+AN20*(Supuestos!$F$7/Supuestos!$F$6)*(((1-Supuestos!$F$22)*Supuestos!$F$19+Supuestos!$F$22*Supuestos!$F$21)-((1-MIN(1,Supuestos!$F$52*$N20))*Supuestos!$F$19+MIN(1,Supuestos!$F$52*$N20)*Supuestos!$F$20))+AN20*Supuestos!$F$23/60*Supuestos!$F$24*MIN(1,Supuestos!$F$55*$L20)</f>
        <v>4131267.328125</v>
      </c>
      <c r="AP20" s="22" t="n">
        <f aca="false">((Supuestos!$F$37)+(Supuestos!$F$37))/2*Supuestos!$F$13*Supuestos!$F$18*12+AN20*Supuestos!$F$25+AN20*Supuestos!$F$58*$J20*(Supuestos!$F$26*(Supuestos!$F$7/Supuestos!$F$6)+Supuestos!$F$27)+AN20*Supuestos!$F$28*Supuestos!$F$29+(Supuestos!$F$61+Supuestos!$F$64)*$K20</f>
        <v>2900919.92</v>
      </c>
      <c r="AQ20" s="22" t="n">
        <f aca="false">0</f>
        <v>0</v>
      </c>
      <c r="AR20" s="22" t="n">
        <f aca="false">AO20-AP20-AQ20</f>
        <v>1230347.408125</v>
      </c>
    </row>
    <row r="21" customFormat="false" ht="15" hidden="false" customHeight="false" outlineLevel="0" collapsed="false">
      <c r="A21" s="7" t="s">
        <v>254</v>
      </c>
      <c r="B21" s="31" t="n">
        <f aca="false">NPV(Supuestos!$F$30,T21,Z21,AF21,AL21,AR21)</f>
        <v>-2852933.39507498</v>
      </c>
      <c r="C21" s="29" t="n">
        <f aca="false">B21-$B$5</f>
        <v>821529.070491869</v>
      </c>
      <c r="D21" s="4"/>
      <c r="E21" s="44" t="n">
        <v>1</v>
      </c>
      <c r="F21" s="44" t="n">
        <v>1</v>
      </c>
      <c r="G21" s="44" t="n">
        <v>1</v>
      </c>
      <c r="H21" s="44" t="n">
        <v>1</v>
      </c>
      <c r="I21" s="44" t="n">
        <v>1</v>
      </c>
      <c r="J21" s="44" t="n">
        <v>1</v>
      </c>
      <c r="K21" s="44" t="n">
        <v>1</v>
      </c>
      <c r="L21" s="44" t="n">
        <v>1.25</v>
      </c>
      <c r="M21" s="44" t="n">
        <v>1</v>
      </c>
      <c r="N21" s="44" t="n">
        <v>1</v>
      </c>
      <c r="O21" s="22" t="n">
        <f aca="false">((Supuestos!$F$31)+(Supuestos!$F$35))/2*Supuestos!$F$10*Supuestos!$F$11*Supuestos!$F$12*$E21</f>
        <v>9899347.5</v>
      </c>
      <c r="P21" s="22" t="n">
        <f aca="false">O21*MIN(1,Supuestos!$F$41*$G21)*MIN(1,Supuestos!$F$44*$H21)</f>
        <v>1385908.65</v>
      </c>
      <c r="Q21" s="22" t="n">
        <f aca="false">O21*Supuestos!$F$47*$F21*(Supuestos!$F$7/Supuestos!$F$8*Supuestos!$F$9*$M21)+P21*(Supuestos!$F$7/Supuestos!$F$6)*(((1-Supuestos!$F$22)*Supuestos!$F$19+Supuestos!$F$22*Supuestos!$F$21)-((1-MIN(1,Supuestos!$F$50*$N21))*Supuestos!$F$19+MIN(1,Supuestos!$F$50*$N21)*Supuestos!$F$20))+P21*Supuestos!$F$23/60*Supuestos!$F$24*MIN(1,Supuestos!$F$53*$L21)</f>
        <v>132873.99181875</v>
      </c>
      <c r="R21" s="22" t="n">
        <f aca="false">((Supuestos!$F$31)+(Supuestos!$F$35))/2*Supuestos!$F$13*Supuestos!$F$18*12+P21*Supuestos!$F$25+P21*Supuestos!$F$56*$J21*(Supuestos!$F$26*(Supuestos!$F$7/Supuestos!$F$6)+Supuestos!$F$27)+P21*Supuestos!$F$28*Supuestos!$F$29+(Supuestos!$F$59+Supuestos!$F$62)*$K21</f>
        <v>1672536.21003</v>
      </c>
      <c r="S21" s="22" t="n">
        <f aca="false">(Supuestos!$F$35-Supuestos!$F$31)*Supuestos!$F$13*Supuestos!$F$14*$I21*(1+Supuestos!$F$15)+MIN(Supuestos!$F$35-Supuestos!$F$31,Supuestos!$F$38)*Supuestos!$F$17+((Supuestos!$F$35-Supuestos!$F$31)-MIN(Supuestos!$F$35-Supuestos!$F$31,Supuestos!$F$38))*Supuestos!$F$16</f>
        <v>2411820</v>
      </c>
      <c r="T21" s="22" t="n">
        <f aca="false">Q21-R21-S21</f>
        <v>-3951482.21821125</v>
      </c>
      <c r="U21" s="22" t="n">
        <f aca="false">((Supuestos!$F$35)+(Supuestos!$F$36))/2*Supuestos!$F$10*Supuestos!$F$11*Supuestos!$F$12*$E21</f>
        <v>25754400</v>
      </c>
      <c r="V21" s="22" t="n">
        <f aca="false">U21*MIN(1,Supuestos!$F$42*$G21)*MIN(1,Supuestos!$F$45*$H21)</f>
        <v>5872003.2</v>
      </c>
      <c r="W21" s="22" t="n">
        <f aca="false">U21*Supuestos!$F$48*$F21*(Supuestos!$F$7/Supuestos!$F$8*Supuestos!$F$9*$M21)+V21*(Supuestos!$F$7/Supuestos!$F$6)*(((1-Supuestos!$F$22)*Supuestos!$F$19+Supuestos!$F$22*Supuestos!$F$21)-((1-MIN(1,Supuestos!$F$51*$N21))*Supuestos!$F$19+MIN(1,Supuestos!$F$51*$N21)*Supuestos!$F$20))+V21*Supuestos!$F$23/60*Supuestos!$F$24*MIN(1,Supuestos!$F$54*$L21)</f>
        <v>1511337.72888</v>
      </c>
      <c r="X21" s="22" t="n">
        <f aca="false">((Supuestos!$F$35)+(Supuestos!$F$36))/2*Supuestos!$F$13*Supuestos!$F$18*12+V21*Supuestos!$F$25+V21*Supuestos!$F$57*$J21*(Supuestos!$F$26*(Supuestos!$F$7/Supuestos!$F$6)+Supuestos!$F$27)+V21*Supuestos!$F$28*Supuestos!$F$29+(Supuestos!$F$60+Supuestos!$F$63)*$K21</f>
        <v>2225344.3264</v>
      </c>
      <c r="Y21" s="22" t="n">
        <f aca="false">(Supuestos!$F$36-Supuestos!$F$35)*Supuestos!$F$13*Supuestos!$F$14*$I21*(1+Supuestos!$F$15)+MIN(Supuestos!$F$36-Supuestos!$F$35,Supuestos!$F$39)*Supuestos!$F$17+((Supuestos!$F$36-Supuestos!$F$35)-MIN(Supuestos!$F$36-Supuestos!$F$35,Supuestos!$F$39))*Supuestos!$F$16</f>
        <v>1956800</v>
      </c>
      <c r="Z21" s="22" t="n">
        <f aca="false">W21-X21-Y21</f>
        <v>-2670806.59752</v>
      </c>
      <c r="AA21" s="22" t="n">
        <f aca="false">((Supuestos!$F$36)+(Supuestos!$F$37))/2*Supuestos!$F$10*Supuestos!$F$11*Supuestos!$F$12*$E21</f>
        <v>36217125</v>
      </c>
      <c r="AB21" s="22" t="n">
        <f aca="false">AA21*MIN(1,Supuestos!$F$43*$G21)*MIN(1,Supuestos!$F$46*$H21)</f>
        <v>11589480</v>
      </c>
      <c r="AC21" s="22" t="n">
        <f aca="false">AA21*Supuestos!$F$49*$F21*(Supuestos!$F$7/Supuestos!$F$8*Supuestos!$F$9*$M21)+AB21*(Supuestos!$F$7/Supuestos!$F$6)*(((1-Supuestos!$F$22)*Supuestos!$F$19+Supuestos!$F$22*Supuestos!$F$21)-((1-MIN(1,Supuestos!$F$52*$N21))*Supuestos!$F$19+MIN(1,Supuestos!$F$52*$N21)*Supuestos!$F$20))+AB21*Supuestos!$F$23/60*Supuestos!$F$24*MIN(1,Supuestos!$F$55*$L21)</f>
        <v>4448277.8353125</v>
      </c>
      <c r="AD21" s="22" t="n">
        <f aca="false">((Supuestos!$F$36)+(Supuestos!$F$37))/2*Supuestos!$F$13*Supuestos!$F$18*12+AB21*Supuestos!$F$25+AB21*Supuestos!$F$58*$J21*(Supuestos!$F$26*(Supuestos!$F$7/Supuestos!$F$6)+Supuestos!$F$27)+AB21*Supuestos!$F$28*Supuestos!$F$29+(Supuestos!$F$61+Supuestos!$F$64)*$K21</f>
        <v>2735827.928</v>
      </c>
      <c r="AE21" s="22" t="n">
        <f aca="false">(Supuestos!$F$37-Supuestos!$F$36)*Supuestos!$F$13*Supuestos!$F$14*$I21*(1+Supuestos!$F$15)+MIN(Supuestos!$F$37-Supuestos!$F$36,Supuestos!$F$40)*Supuestos!$F$17+((Supuestos!$F$37-Supuestos!$F$36)-MIN(Supuestos!$F$37-Supuestos!$F$36,Supuestos!$F$40))*Supuestos!$F$16</f>
        <v>1223000</v>
      </c>
      <c r="AF21" s="22" t="n">
        <f aca="false">AC21-AD21-AE21</f>
        <v>489449.907312499</v>
      </c>
      <c r="AG21" s="22" t="n">
        <f aca="false">((Supuestos!$F$37)+(Supuestos!$F$37))/2*Supuestos!$F$10*Supuestos!$F$11*Supuestos!$F$12*$E21</f>
        <v>40241250</v>
      </c>
      <c r="AH21" s="22" t="n">
        <f aca="false">AG21*MIN(1,Supuestos!$F$43*$G21)*MIN(1,Supuestos!$F$46*$H21)</f>
        <v>12877200</v>
      </c>
      <c r="AI21" s="22" t="n">
        <f aca="false">AG21*Supuestos!$F$49*$F21*(Supuestos!$F$7/Supuestos!$F$8*Supuestos!$F$9*$M21)+AH21*(Supuestos!$F$7/Supuestos!$F$6)*(((1-Supuestos!$F$22)*Supuestos!$F$19+Supuestos!$F$22*Supuestos!$F$21)-((1-MIN(1,Supuestos!$F$52*$N21))*Supuestos!$F$19+MIN(1,Supuestos!$F$52*$N21)*Supuestos!$F$20))+AH21*Supuestos!$F$23/60*Supuestos!$F$24*MIN(1,Supuestos!$F$55*$L21)</f>
        <v>4942530.928125</v>
      </c>
      <c r="AJ21" s="22" t="n">
        <f aca="false">((Supuestos!$F$37)+(Supuestos!$F$37))/2*Supuestos!$F$13*Supuestos!$F$18*12+AH21*Supuestos!$F$25+AH21*Supuestos!$F$58*$J21*(Supuestos!$F$26*(Supuestos!$F$7/Supuestos!$F$6)+Supuestos!$F$27)+AH21*Supuestos!$F$28*Supuestos!$F$29+(Supuestos!$F$61+Supuestos!$F$64)*$K21</f>
        <v>2900919.92</v>
      </c>
      <c r="AK21" s="22" t="n">
        <f aca="false">0</f>
        <v>0</v>
      </c>
      <c r="AL21" s="22" t="n">
        <f aca="false">AI21-AJ21-AK21</f>
        <v>2041611.008125</v>
      </c>
      <c r="AM21" s="22" t="n">
        <f aca="false">((Supuestos!$F$37)+(Supuestos!$F$37))/2*Supuestos!$F$10*Supuestos!$F$11*Supuestos!$F$12*$E21</f>
        <v>40241250</v>
      </c>
      <c r="AN21" s="22" t="n">
        <f aca="false">AM21*MIN(1,Supuestos!$F$43*$G21)*MIN(1,Supuestos!$F$46*$H21)</f>
        <v>12877200</v>
      </c>
      <c r="AO21" s="22" t="n">
        <f aca="false">AM21*Supuestos!$F$49*$F21*(Supuestos!$F$7/Supuestos!$F$8*Supuestos!$F$9*$M21)+AN21*(Supuestos!$F$7/Supuestos!$F$6)*(((1-Supuestos!$F$22)*Supuestos!$F$19+Supuestos!$F$22*Supuestos!$F$21)-((1-MIN(1,Supuestos!$F$52*$N21))*Supuestos!$F$19+MIN(1,Supuestos!$F$52*$N21)*Supuestos!$F$20))+AN21*Supuestos!$F$23/60*Supuestos!$F$24*MIN(1,Supuestos!$F$55*$L21)</f>
        <v>4942530.928125</v>
      </c>
      <c r="AP21" s="22" t="n">
        <f aca="false">((Supuestos!$F$37)+(Supuestos!$F$37))/2*Supuestos!$F$13*Supuestos!$F$18*12+AN21*Supuestos!$F$25+AN21*Supuestos!$F$58*$J21*(Supuestos!$F$26*(Supuestos!$F$7/Supuestos!$F$6)+Supuestos!$F$27)+AN21*Supuestos!$F$28*Supuestos!$F$29+(Supuestos!$F$61+Supuestos!$F$64)*$K21</f>
        <v>2900919.92</v>
      </c>
      <c r="AQ21" s="22" t="n">
        <f aca="false">0</f>
        <v>0</v>
      </c>
      <c r="AR21" s="22" t="n">
        <f aca="false">AO21-AP21-AQ21</f>
        <v>2041611.008125</v>
      </c>
    </row>
    <row r="22" customFormat="false" ht="15" hidden="false" customHeight="false" outlineLevel="0" collapsed="false">
      <c r="A22" s="7" t="s">
        <v>255</v>
      </c>
      <c r="B22" s="31" t="n">
        <f aca="false">NPV(Supuestos!$F$30,T22,Z22,AF22,AL22,AR22)</f>
        <v>-4729397.90033775</v>
      </c>
      <c r="C22" s="29" t="n">
        <f aca="false">B22-$B$5</f>
        <v>-1054935.4347709</v>
      </c>
      <c r="D22" s="4"/>
      <c r="E22" s="44" t="n">
        <v>1</v>
      </c>
      <c r="F22" s="44" t="n">
        <v>1</v>
      </c>
      <c r="G22" s="44" t="n">
        <v>1</v>
      </c>
      <c r="H22" s="44" t="n">
        <v>1</v>
      </c>
      <c r="I22" s="44" t="n">
        <v>1</v>
      </c>
      <c r="J22" s="44" t="n">
        <v>1</v>
      </c>
      <c r="K22" s="44" t="n">
        <v>1</v>
      </c>
      <c r="L22" s="44" t="n">
        <v>1</v>
      </c>
      <c r="M22" s="44" t="n">
        <v>0.75</v>
      </c>
      <c r="N22" s="44" t="n">
        <v>1</v>
      </c>
      <c r="O22" s="22" t="n">
        <f aca="false">((Supuestos!$F$31)+(Supuestos!$F$35))/2*Supuestos!$F$10*Supuestos!$F$11*Supuestos!$F$12*$E22</f>
        <v>9899347.5</v>
      </c>
      <c r="P22" s="22" t="n">
        <f aca="false">O22*MIN(1,Supuestos!$F$41*$G22)*MIN(1,Supuestos!$F$44*$H22)</f>
        <v>1385908.65</v>
      </c>
      <c r="Q22" s="22" t="n">
        <f aca="false">O22*Supuestos!$F$47*$F22*(Supuestos!$F$7/Supuestos!$F$8*Supuestos!$F$9*$M22)+P22*(Supuestos!$F$7/Supuestos!$F$6)*(((1-Supuestos!$F$22)*Supuestos!$F$19+Supuestos!$F$22*Supuestos!$F$21)-((1-MIN(1,Supuestos!$F$50*$N22))*Supuestos!$F$19+MIN(1,Supuestos!$F$50*$N22)*Supuestos!$F$20))+P22*Supuestos!$F$23/60*Supuestos!$F$24*MIN(1,Supuestos!$F$53*$L22)</f>
        <v>94544.9557171875</v>
      </c>
      <c r="R22" s="22" t="n">
        <f aca="false">((Supuestos!$F$31)+(Supuestos!$F$35))/2*Supuestos!$F$13*Supuestos!$F$18*12+P22*Supuestos!$F$25+P22*Supuestos!$F$56*$J22*(Supuestos!$F$26*(Supuestos!$F$7/Supuestos!$F$6)+Supuestos!$F$27)+P22*Supuestos!$F$28*Supuestos!$F$29+(Supuestos!$F$59+Supuestos!$F$62)*$K22</f>
        <v>1672536.21003</v>
      </c>
      <c r="S22" s="22" t="n">
        <f aca="false">(Supuestos!$F$35-Supuestos!$F$31)*Supuestos!$F$13*Supuestos!$F$14*$I22*(1+Supuestos!$F$15)+MIN(Supuestos!$F$35-Supuestos!$F$31,Supuestos!$F$38)*Supuestos!$F$17+((Supuestos!$F$35-Supuestos!$F$31)-MIN(Supuestos!$F$35-Supuestos!$F$31,Supuestos!$F$38))*Supuestos!$F$16</f>
        <v>2411820</v>
      </c>
      <c r="T22" s="22" t="n">
        <f aca="false">Q22-R22-S22</f>
        <v>-3989811.25431281</v>
      </c>
      <c r="U22" s="22" t="n">
        <f aca="false">((Supuestos!$F$35)+(Supuestos!$F$36))/2*Supuestos!$F$10*Supuestos!$F$11*Supuestos!$F$12*$E22</f>
        <v>25754400</v>
      </c>
      <c r="V22" s="22" t="n">
        <f aca="false">U22*MIN(1,Supuestos!$F$42*$G22)*MIN(1,Supuestos!$F$45*$H22)</f>
        <v>5872003.2</v>
      </c>
      <c r="W22" s="22" t="n">
        <f aca="false">U22*Supuestos!$F$48*$F22*(Supuestos!$F$7/Supuestos!$F$8*Supuestos!$F$9*$M22)+V22*(Supuestos!$F$7/Supuestos!$F$6)*(((1-Supuestos!$F$22)*Supuestos!$F$19+Supuestos!$F$22*Supuestos!$F$21)-((1-MIN(1,Supuestos!$F$51*$N22))*Supuestos!$F$19+MIN(1,Supuestos!$F$51*$N22)*Supuestos!$F$20))+V22*Supuestos!$F$23/60*Supuestos!$F$24*MIN(1,Supuestos!$F$54*$L22)</f>
        <v>1219418.04348</v>
      </c>
      <c r="X22" s="22" t="n">
        <f aca="false">((Supuestos!$F$35)+(Supuestos!$F$36))/2*Supuestos!$F$13*Supuestos!$F$18*12+V22*Supuestos!$F$25+V22*Supuestos!$F$57*$J22*(Supuestos!$F$26*(Supuestos!$F$7/Supuestos!$F$6)+Supuestos!$F$27)+V22*Supuestos!$F$28*Supuestos!$F$29+(Supuestos!$F$60+Supuestos!$F$63)*$K22</f>
        <v>2225344.3264</v>
      </c>
      <c r="Y22" s="22" t="n">
        <f aca="false">(Supuestos!$F$36-Supuestos!$F$35)*Supuestos!$F$13*Supuestos!$F$14*$I22*(1+Supuestos!$F$15)+MIN(Supuestos!$F$36-Supuestos!$F$35,Supuestos!$F$39)*Supuestos!$F$17+((Supuestos!$F$36-Supuestos!$F$35)-MIN(Supuestos!$F$36-Supuestos!$F$35,Supuestos!$F$39))*Supuestos!$F$16</f>
        <v>1956800</v>
      </c>
      <c r="Z22" s="22" t="n">
        <f aca="false">W22-X22-Y22</f>
        <v>-2962726.28292</v>
      </c>
      <c r="AA22" s="22" t="n">
        <f aca="false">((Supuestos!$F$36)+(Supuestos!$F$37))/2*Supuestos!$F$10*Supuestos!$F$11*Supuestos!$F$12*$E22</f>
        <v>36217125</v>
      </c>
      <c r="AB22" s="22" t="n">
        <f aca="false">AA22*MIN(1,Supuestos!$F$43*$G22)*MIN(1,Supuestos!$F$46*$H22)</f>
        <v>11589480</v>
      </c>
      <c r="AC22" s="22" t="n">
        <f aca="false">AA22*Supuestos!$F$49*$F22*(Supuestos!$F$7/Supuestos!$F$8*Supuestos!$F$9*$M22)+AB22*(Supuestos!$F$7/Supuestos!$F$6)*(((1-Supuestos!$F$22)*Supuestos!$F$19+Supuestos!$F$22*Supuestos!$F$21)-((1-MIN(1,Supuestos!$F$52*$N22))*Supuestos!$F$19+MIN(1,Supuestos!$F$52*$N22)*Supuestos!$F$20))+AB22*Supuestos!$F$23/60*Supuestos!$F$24*MIN(1,Supuestos!$F$55*$L22)</f>
        <v>3662524.67273437</v>
      </c>
      <c r="AD22" s="22" t="n">
        <f aca="false">((Supuestos!$F$36)+(Supuestos!$F$37))/2*Supuestos!$F$13*Supuestos!$F$18*12+AB22*Supuestos!$F$25+AB22*Supuestos!$F$58*$J22*(Supuestos!$F$26*(Supuestos!$F$7/Supuestos!$F$6)+Supuestos!$F$27)+AB22*Supuestos!$F$28*Supuestos!$F$29+(Supuestos!$F$61+Supuestos!$F$64)*$K22</f>
        <v>2735827.928</v>
      </c>
      <c r="AE22" s="22" t="n">
        <f aca="false">(Supuestos!$F$37-Supuestos!$F$36)*Supuestos!$F$13*Supuestos!$F$14*$I22*(1+Supuestos!$F$15)+MIN(Supuestos!$F$37-Supuestos!$F$36,Supuestos!$F$40)*Supuestos!$F$17+((Supuestos!$F$37-Supuestos!$F$36)-MIN(Supuestos!$F$37-Supuestos!$F$36,Supuestos!$F$40))*Supuestos!$F$16</f>
        <v>1223000</v>
      </c>
      <c r="AF22" s="22" t="n">
        <f aca="false">AC22-AD22-AE22</f>
        <v>-296303.255265626</v>
      </c>
      <c r="AG22" s="22" t="n">
        <f aca="false">((Supuestos!$F$37)+(Supuestos!$F$37))/2*Supuestos!$F$10*Supuestos!$F$11*Supuestos!$F$12*$E22</f>
        <v>40241250</v>
      </c>
      <c r="AH22" s="22" t="n">
        <f aca="false">AG22*MIN(1,Supuestos!$F$43*$G22)*MIN(1,Supuestos!$F$46*$H22)</f>
        <v>12877200</v>
      </c>
      <c r="AI22" s="22" t="n">
        <f aca="false">AG22*Supuestos!$F$49*$F22*(Supuestos!$F$7/Supuestos!$F$8*Supuestos!$F$9*$M22)+AH22*(Supuestos!$F$7/Supuestos!$F$6)*(((1-Supuestos!$F$22)*Supuestos!$F$19+Supuestos!$F$22*Supuestos!$F$21)-((1-MIN(1,Supuestos!$F$52*$N22))*Supuestos!$F$19+MIN(1,Supuestos!$F$52*$N22)*Supuestos!$F$20))+AH22*Supuestos!$F$23/60*Supuestos!$F$24*MIN(1,Supuestos!$F$55*$L22)</f>
        <v>4069471.85859375</v>
      </c>
      <c r="AJ22" s="22" t="n">
        <f aca="false">((Supuestos!$F$37)+(Supuestos!$F$37))/2*Supuestos!$F$13*Supuestos!$F$18*12+AH22*Supuestos!$F$25+AH22*Supuestos!$F$58*$J22*(Supuestos!$F$26*(Supuestos!$F$7/Supuestos!$F$6)+Supuestos!$F$27)+AH22*Supuestos!$F$28*Supuestos!$F$29+(Supuestos!$F$61+Supuestos!$F$64)*$K22</f>
        <v>2900919.92</v>
      </c>
      <c r="AK22" s="22" t="n">
        <f aca="false">0</f>
        <v>0</v>
      </c>
      <c r="AL22" s="22" t="n">
        <f aca="false">AI22-AJ22-AK22</f>
        <v>1168551.93859375</v>
      </c>
      <c r="AM22" s="22" t="n">
        <f aca="false">((Supuestos!$F$37)+(Supuestos!$F$37))/2*Supuestos!$F$10*Supuestos!$F$11*Supuestos!$F$12*$E22</f>
        <v>40241250</v>
      </c>
      <c r="AN22" s="22" t="n">
        <f aca="false">AM22*MIN(1,Supuestos!$F$43*$G22)*MIN(1,Supuestos!$F$46*$H22)</f>
        <v>12877200</v>
      </c>
      <c r="AO22" s="22" t="n">
        <f aca="false">AM22*Supuestos!$F$49*$F22*(Supuestos!$F$7/Supuestos!$F$8*Supuestos!$F$9*$M22)+AN22*(Supuestos!$F$7/Supuestos!$F$6)*(((1-Supuestos!$F$22)*Supuestos!$F$19+Supuestos!$F$22*Supuestos!$F$21)-((1-MIN(1,Supuestos!$F$52*$N22))*Supuestos!$F$19+MIN(1,Supuestos!$F$52*$N22)*Supuestos!$F$20))+AN22*Supuestos!$F$23/60*Supuestos!$F$24*MIN(1,Supuestos!$F$55*$L22)</f>
        <v>4069471.85859375</v>
      </c>
      <c r="AP22" s="22" t="n">
        <f aca="false">((Supuestos!$F$37)+(Supuestos!$F$37))/2*Supuestos!$F$13*Supuestos!$F$18*12+AN22*Supuestos!$F$25+AN22*Supuestos!$F$58*$J22*(Supuestos!$F$26*(Supuestos!$F$7/Supuestos!$F$6)+Supuestos!$F$27)+AN22*Supuestos!$F$28*Supuestos!$F$29+(Supuestos!$F$61+Supuestos!$F$64)*$K22</f>
        <v>2900919.92</v>
      </c>
      <c r="AQ22" s="22" t="n">
        <f aca="false">0</f>
        <v>0</v>
      </c>
      <c r="AR22" s="22" t="n">
        <f aca="false">AO22-AP22-AQ22</f>
        <v>1168551.93859375</v>
      </c>
    </row>
    <row r="23" customFormat="false" ht="15" hidden="false" customHeight="false" outlineLevel="0" collapsed="false">
      <c r="A23" s="7" t="s">
        <v>256</v>
      </c>
      <c r="B23" s="31" t="n">
        <f aca="false">NPV(Supuestos!$F$30,T23,Z23,AF23,AL23,AR23)</f>
        <v>-2619527.03079594</v>
      </c>
      <c r="C23" s="29" t="n">
        <f aca="false">B23-$B$5</f>
        <v>1054935.4347709</v>
      </c>
      <c r="D23" s="4"/>
      <c r="E23" s="44" t="n">
        <v>1</v>
      </c>
      <c r="F23" s="44" t="n">
        <v>1</v>
      </c>
      <c r="G23" s="44" t="n">
        <v>1</v>
      </c>
      <c r="H23" s="44" t="n">
        <v>1</v>
      </c>
      <c r="I23" s="44" t="n">
        <v>1</v>
      </c>
      <c r="J23" s="44" t="n">
        <v>1</v>
      </c>
      <c r="K23" s="44" t="n">
        <v>1</v>
      </c>
      <c r="L23" s="44" t="n">
        <v>1</v>
      </c>
      <c r="M23" s="44" t="n">
        <v>1.25</v>
      </c>
      <c r="N23" s="44" t="n">
        <v>1</v>
      </c>
      <c r="O23" s="22" t="n">
        <f aca="false">((Supuestos!$F$31)+(Supuestos!$F$35))/2*Supuestos!$F$10*Supuestos!$F$11*Supuestos!$F$12*$E23</f>
        <v>9899347.5</v>
      </c>
      <c r="P23" s="22" t="n">
        <f aca="false">O23*MIN(1,Supuestos!$F$41*$G23)*MIN(1,Supuestos!$F$44*$H23)</f>
        <v>1385908.65</v>
      </c>
      <c r="Q23" s="22" t="n">
        <f aca="false">O23*Supuestos!$F$47*$F23*(Supuestos!$F$7/Supuestos!$F$8*Supuestos!$F$9*$M23)+P23*(Supuestos!$F$7/Supuestos!$F$6)*(((1-Supuestos!$F$22)*Supuestos!$F$19+Supuestos!$F$22*Supuestos!$F$21)-((1-MIN(1,Supuestos!$F$50*$N23))*Supuestos!$F$19+MIN(1,Supuestos!$F$50*$N23)*Supuestos!$F$20))+P23*Supuestos!$F$23/60*Supuestos!$F$24*MIN(1,Supuestos!$F$53*$L23)</f>
        <v>171203.027920312</v>
      </c>
      <c r="R23" s="22" t="n">
        <f aca="false">((Supuestos!$F$31)+(Supuestos!$F$35))/2*Supuestos!$F$13*Supuestos!$F$18*12+P23*Supuestos!$F$25+P23*Supuestos!$F$56*$J23*(Supuestos!$F$26*(Supuestos!$F$7/Supuestos!$F$6)+Supuestos!$F$27)+P23*Supuestos!$F$28*Supuestos!$F$29+(Supuestos!$F$59+Supuestos!$F$62)*$K23</f>
        <v>1672536.21003</v>
      </c>
      <c r="S23" s="22" t="n">
        <f aca="false">(Supuestos!$F$35-Supuestos!$F$31)*Supuestos!$F$13*Supuestos!$F$14*$I23*(1+Supuestos!$F$15)+MIN(Supuestos!$F$35-Supuestos!$F$31,Supuestos!$F$38)*Supuestos!$F$17+((Supuestos!$F$35-Supuestos!$F$31)-MIN(Supuestos!$F$35-Supuestos!$F$31,Supuestos!$F$38))*Supuestos!$F$16</f>
        <v>2411820</v>
      </c>
      <c r="T23" s="22" t="n">
        <f aca="false">Q23-R23-S23</f>
        <v>-3913153.18210969</v>
      </c>
      <c r="U23" s="22" t="n">
        <f aca="false">((Supuestos!$F$35)+(Supuestos!$F$36))/2*Supuestos!$F$10*Supuestos!$F$11*Supuestos!$F$12*$E23</f>
        <v>25754400</v>
      </c>
      <c r="V23" s="22" t="n">
        <f aca="false">U23*MIN(1,Supuestos!$F$42*$G23)*MIN(1,Supuestos!$F$45*$H23)</f>
        <v>5872003.2</v>
      </c>
      <c r="W23" s="22" t="n">
        <f aca="false">U23*Supuestos!$F$48*$F23*(Supuestos!$F$7/Supuestos!$F$8*Supuestos!$F$9*$M23)+V23*(Supuestos!$F$7/Supuestos!$F$6)*(((1-Supuestos!$F$22)*Supuestos!$F$19+Supuestos!$F$22*Supuestos!$F$21)-((1-MIN(1,Supuestos!$F$51*$N23))*Supuestos!$F$19+MIN(1,Supuestos!$F$51*$N23)*Supuestos!$F$20))+V23*Supuestos!$F$23/60*Supuestos!$F$24*MIN(1,Supuestos!$F$54*$L23)</f>
        <v>1618289.31348</v>
      </c>
      <c r="X23" s="22" t="n">
        <f aca="false">((Supuestos!$F$35)+(Supuestos!$F$36))/2*Supuestos!$F$13*Supuestos!$F$18*12+V23*Supuestos!$F$25+V23*Supuestos!$F$57*$J23*(Supuestos!$F$26*(Supuestos!$F$7/Supuestos!$F$6)+Supuestos!$F$27)+V23*Supuestos!$F$28*Supuestos!$F$29+(Supuestos!$F$60+Supuestos!$F$63)*$K23</f>
        <v>2225344.3264</v>
      </c>
      <c r="Y23" s="22" t="n">
        <f aca="false">(Supuestos!$F$36-Supuestos!$F$35)*Supuestos!$F$13*Supuestos!$F$14*$I23*(1+Supuestos!$F$15)+MIN(Supuestos!$F$36-Supuestos!$F$35,Supuestos!$F$39)*Supuestos!$F$17+((Supuestos!$F$36-Supuestos!$F$35)-MIN(Supuestos!$F$36-Supuestos!$F$35,Supuestos!$F$39))*Supuestos!$F$16</f>
        <v>1956800</v>
      </c>
      <c r="Z23" s="22" t="n">
        <f aca="false">W23-X23-Y23</f>
        <v>-2563855.01292</v>
      </c>
      <c r="AA23" s="22" t="n">
        <f aca="false">((Supuestos!$F$36)+(Supuestos!$F$37))/2*Supuestos!$F$10*Supuestos!$F$11*Supuestos!$F$12*$E23</f>
        <v>36217125</v>
      </c>
      <c r="AB23" s="22" t="n">
        <f aca="false">AA23*MIN(1,Supuestos!$F$43*$G23)*MIN(1,Supuestos!$F$46*$H23)</f>
        <v>11589480</v>
      </c>
      <c r="AC23" s="22" t="n">
        <f aca="false">AA23*Supuestos!$F$49*$F23*(Supuestos!$F$7/Supuestos!$F$8*Supuestos!$F$9*$M23)+AB23*(Supuestos!$F$7/Supuestos!$F$6)*(((1-Supuestos!$F$22)*Supuestos!$F$19+Supuestos!$F$22*Supuestos!$F$21)-((1-MIN(1,Supuestos!$F$52*$N23))*Supuestos!$F$19+MIN(1,Supuestos!$F$52*$N23)*Supuestos!$F$20))+AB23*Supuestos!$F$23/60*Supuestos!$F$24*MIN(1,Supuestos!$F$55*$L23)</f>
        <v>4503893.75789063</v>
      </c>
      <c r="AD23" s="22" t="n">
        <f aca="false">((Supuestos!$F$36)+(Supuestos!$F$37))/2*Supuestos!$F$13*Supuestos!$F$18*12+AB23*Supuestos!$F$25+AB23*Supuestos!$F$58*$J23*(Supuestos!$F$26*(Supuestos!$F$7/Supuestos!$F$6)+Supuestos!$F$27)+AB23*Supuestos!$F$28*Supuestos!$F$29+(Supuestos!$F$61+Supuestos!$F$64)*$K23</f>
        <v>2735827.928</v>
      </c>
      <c r="AE23" s="22" t="n">
        <f aca="false">(Supuestos!$F$37-Supuestos!$F$36)*Supuestos!$F$13*Supuestos!$F$14*$I23*(1+Supuestos!$F$15)+MIN(Supuestos!$F$37-Supuestos!$F$36,Supuestos!$F$40)*Supuestos!$F$17+((Supuestos!$F$37-Supuestos!$F$36)-MIN(Supuestos!$F$37-Supuestos!$F$36,Supuestos!$F$40))*Supuestos!$F$16</f>
        <v>1223000</v>
      </c>
      <c r="AF23" s="22" t="n">
        <f aca="false">AC23-AD23-AE23</f>
        <v>545065.829890625</v>
      </c>
      <c r="AG23" s="22" t="n">
        <f aca="false">((Supuestos!$F$37)+(Supuestos!$F$37))/2*Supuestos!$F$10*Supuestos!$F$11*Supuestos!$F$12*$E23</f>
        <v>40241250</v>
      </c>
      <c r="AH23" s="22" t="n">
        <f aca="false">AG23*MIN(1,Supuestos!$F$43*$G23)*MIN(1,Supuestos!$F$46*$H23)</f>
        <v>12877200</v>
      </c>
      <c r="AI23" s="22" t="n">
        <f aca="false">AG23*Supuestos!$F$49*$F23*(Supuestos!$F$7/Supuestos!$F$8*Supuestos!$F$9*$M23)+AH23*(Supuestos!$F$7/Supuestos!$F$6)*(((1-Supuestos!$F$22)*Supuestos!$F$19+Supuestos!$F$22*Supuestos!$F$21)-((1-MIN(1,Supuestos!$F$52*$N23))*Supuestos!$F$19+MIN(1,Supuestos!$F$52*$N23)*Supuestos!$F$20))+AH23*Supuestos!$F$23/60*Supuestos!$F$24*MIN(1,Supuestos!$F$55*$L23)</f>
        <v>5004326.39765625</v>
      </c>
      <c r="AJ23" s="22" t="n">
        <f aca="false">((Supuestos!$F$37)+(Supuestos!$F$37))/2*Supuestos!$F$13*Supuestos!$F$18*12+AH23*Supuestos!$F$25+AH23*Supuestos!$F$58*$J23*(Supuestos!$F$26*(Supuestos!$F$7/Supuestos!$F$6)+Supuestos!$F$27)+AH23*Supuestos!$F$28*Supuestos!$F$29+(Supuestos!$F$61+Supuestos!$F$64)*$K23</f>
        <v>2900919.92</v>
      </c>
      <c r="AK23" s="22" t="n">
        <f aca="false">0</f>
        <v>0</v>
      </c>
      <c r="AL23" s="22" t="n">
        <f aca="false">AI23-AJ23-AK23</f>
        <v>2103406.47765625</v>
      </c>
      <c r="AM23" s="22" t="n">
        <f aca="false">((Supuestos!$F$37)+(Supuestos!$F$37))/2*Supuestos!$F$10*Supuestos!$F$11*Supuestos!$F$12*$E23</f>
        <v>40241250</v>
      </c>
      <c r="AN23" s="22" t="n">
        <f aca="false">AM23*MIN(1,Supuestos!$F$43*$G23)*MIN(1,Supuestos!$F$46*$H23)</f>
        <v>12877200</v>
      </c>
      <c r="AO23" s="22" t="n">
        <f aca="false">AM23*Supuestos!$F$49*$F23*(Supuestos!$F$7/Supuestos!$F$8*Supuestos!$F$9*$M23)+AN23*(Supuestos!$F$7/Supuestos!$F$6)*(((1-Supuestos!$F$22)*Supuestos!$F$19+Supuestos!$F$22*Supuestos!$F$21)-((1-MIN(1,Supuestos!$F$52*$N23))*Supuestos!$F$19+MIN(1,Supuestos!$F$52*$N23)*Supuestos!$F$20))+AN23*Supuestos!$F$23/60*Supuestos!$F$24*MIN(1,Supuestos!$F$55*$L23)</f>
        <v>5004326.39765625</v>
      </c>
      <c r="AP23" s="22" t="n">
        <f aca="false">((Supuestos!$F$37)+(Supuestos!$F$37))/2*Supuestos!$F$13*Supuestos!$F$18*12+AN23*Supuestos!$F$25+AN23*Supuestos!$F$58*$J23*(Supuestos!$F$26*(Supuestos!$F$7/Supuestos!$F$6)+Supuestos!$F$27)+AN23*Supuestos!$F$28*Supuestos!$F$29+(Supuestos!$F$61+Supuestos!$F$64)*$K23</f>
        <v>2900919.92</v>
      </c>
      <c r="AQ23" s="22" t="n">
        <f aca="false">0</f>
        <v>0</v>
      </c>
      <c r="AR23" s="22" t="n">
        <f aca="false">AO23-AP23-AQ23</f>
        <v>2103406.47765625</v>
      </c>
    </row>
    <row r="24" customFormat="false" ht="15" hidden="false" customHeight="false" outlineLevel="0" collapsed="false">
      <c r="A24" s="7" t="s">
        <v>257</v>
      </c>
      <c r="B24" s="31" t="n">
        <f aca="false">NPV(Supuestos!$F$30,T24,Z24,AF24,AL24,AR24)</f>
        <v>-4595143.09188292</v>
      </c>
      <c r="C24" s="29" t="n">
        <f aca="false">B24-$B$5</f>
        <v>-920680.626316077</v>
      </c>
      <c r="D24" s="4"/>
      <c r="E24" s="44" t="n">
        <v>1</v>
      </c>
      <c r="F24" s="44" t="n">
        <v>1</v>
      </c>
      <c r="G24" s="44" t="n">
        <v>1</v>
      </c>
      <c r="H24" s="44" t="n">
        <v>1</v>
      </c>
      <c r="I24" s="44" t="n">
        <v>1</v>
      </c>
      <c r="J24" s="44" t="n">
        <v>1</v>
      </c>
      <c r="K24" s="44" t="n">
        <v>1</v>
      </c>
      <c r="L24" s="44" t="n">
        <v>1</v>
      </c>
      <c r="M24" s="44" t="n">
        <v>1</v>
      </c>
      <c r="N24" s="44" t="n">
        <v>0.75</v>
      </c>
      <c r="O24" s="22" t="n">
        <f aca="false">((Supuestos!$F$31)+(Supuestos!$F$35))/2*Supuestos!$F$10*Supuestos!$F$11*Supuestos!$F$12*$E24</f>
        <v>9899347.5</v>
      </c>
      <c r="P24" s="22" t="n">
        <f aca="false">O24*MIN(1,Supuestos!$F$41*$G24)*MIN(1,Supuestos!$F$44*$H24)</f>
        <v>1385908.65</v>
      </c>
      <c r="Q24" s="22" t="n">
        <f aca="false">O24*Supuestos!$F$47*$F24*(Supuestos!$F$7/Supuestos!$F$8*Supuestos!$F$9*$M24)+P24*(Supuestos!$F$7/Supuestos!$F$6)*(((1-Supuestos!$F$22)*Supuestos!$F$19+Supuestos!$F$22*Supuestos!$F$21)-((1-MIN(1,Supuestos!$F$50*$N24))*Supuestos!$F$19+MIN(1,Supuestos!$F$50*$N24)*Supuestos!$F$20))+P24*Supuestos!$F$23/60*Supuestos!$F$24*MIN(1,Supuestos!$F$53*$L24)</f>
        <v>119586.592636875</v>
      </c>
      <c r="R24" s="22" t="n">
        <f aca="false">((Supuestos!$F$31)+(Supuestos!$F$35))/2*Supuestos!$F$13*Supuestos!$F$18*12+P24*Supuestos!$F$25+P24*Supuestos!$F$56*$J24*(Supuestos!$F$26*(Supuestos!$F$7/Supuestos!$F$6)+Supuestos!$F$27)+P24*Supuestos!$F$28*Supuestos!$F$29+(Supuestos!$F$59+Supuestos!$F$62)*$K24</f>
        <v>1672536.21003</v>
      </c>
      <c r="S24" s="22" t="n">
        <f aca="false">(Supuestos!$F$35-Supuestos!$F$31)*Supuestos!$F$13*Supuestos!$F$14*$I24*(1+Supuestos!$F$15)+MIN(Supuestos!$F$35-Supuestos!$F$31,Supuestos!$F$38)*Supuestos!$F$17+((Supuestos!$F$35-Supuestos!$F$31)-MIN(Supuestos!$F$35-Supuestos!$F$31,Supuestos!$F$38))*Supuestos!$F$16</f>
        <v>2411820</v>
      </c>
      <c r="T24" s="22" t="n">
        <f aca="false">Q24-R24-S24</f>
        <v>-3964769.61739313</v>
      </c>
      <c r="U24" s="22" t="n">
        <f aca="false">((Supuestos!$F$35)+(Supuestos!$F$36))/2*Supuestos!$F$10*Supuestos!$F$11*Supuestos!$F$12*$E24</f>
        <v>25754400</v>
      </c>
      <c r="V24" s="22" t="n">
        <f aca="false">U24*MIN(1,Supuestos!$F$42*$G24)*MIN(1,Supuestos!$F$45*$H24)</f>
        <v>5872003.2</v>
      </c>
      <c r="W24" s="22" t="n">
        <f aca="false">U24*Supuestos!$F$48*$F24*(Supuestos!$F$7/Supuestos!$F$8*Supuestos!$F$9*$M24)+V24*(Supuestos!$F$7/Supuestos!$F$6)*(((1-Supuestos!$F$22)*Supuestos!$F$19+Supuestos!$F$22*Supuestos!$F$21)-((1-MIN(1,Supuestos!$F$51*$N24))*Supuestos!$F$19+MIN(1,Supuestos!$F$51*$N24)*Supuestos!$F$20))+V24*Supuestos!$F$23/60*Supuestos!$F$24*MIN(1,Supuestos!$F$54*$L24)</f>
        <v>1278109.10178</v>
      </c>
      <c r="X24" s="22" t="n">
        <f aca="false">((Supuestos!$F$35)+(Supuestos!$F$36))/2*Supuestos!$F$13*Supuestos!$F$18*12+V24*Supuestos!$F$25+V24*Supuestos!$F$57*$J24*(Supuestos!$F$26*(Supuestos!$F$7/Supuestos!$F$6)+Supuestos!$F$27)+V24*Supuestos!$F$28*Supuestos!$F$29+(Supuestos!$F$60+Supuestos!$F$63)*$K24</f>
        <v>2225344.3264</v>
      </c>
      <c r="Y24" s="22" t="n">
        <f aca="false">(Supuestos!$F$36-Supuestos!$F$35)*Supuestos!$F$13*Supuestos!$F$14*$I24*(1+Supuestos!$F$15)+MIN(Supuestos!$F$36-Supuestos!$F$35,Supuestos!$F$39)*Supuestos!$F$17+((Supuestos!$F$36-Supuestos!$F$35)-MIN(Supuestos!$F$36-Supuestos!$F$35,Supuestos!$F$39))*Supuestos!$F$16</f>
        <v>1956800</v>
      </c>
      <c r="Z24" s="22" t="n">
        <f aca="false">W24-X24-Y24</f>
        <v>-2904035.22462</v>
      </c>
      <c r="AA24" s="22" t="n">
        <f aca="false">((Supuestos!$F$36)+(Supuestos!$F$37))/2*Supuestos!$F$10*Supuestos!$F$11*Supuestos!$F$12*$E24</f>
        <v>36217125</v>
      </c>
      <c r="AB24" s="22" t="n">
        <f aca="false">AA24*MIN(1,Supuestos!$F$43*$G24)*MIN(1,Supuestos!$F$46*$H24)</f>
        <v>11589480</v>
      </c>
      <c r="AC24" s="22" t="n">
        <f aca="false">AA24*Supuestos!$F$49*$F24*(Supuestos!$F$7/Supuestos!$F$8*Supuestos!$F$9*$M24)+AB24*(Supuestos!$F$7/Supuestos!$F$6)*(((1-Supuestos!$F$22)*Supuestos!$F$19+Supuestos!$F$22*Supuestos!$F$21)-((1-MIN(1,Supuestos!$F$52*$N24))*Supuestos!$F$19+MIN(1,Supuestos!$F$52*$N24)*Supuestos!$F$20))+AB24*Supuestos!$F$23/60*Supuestos!$F$24*MIN(1,Supuestos!$F$55*$L24)</f>
        <v>3694309.7270625</v>
      </c>
      <c r="AD24" s="22" t="n">
        <f aca="false">((Supuestos!$F$36)+(Supuestos!$F$37))/2*Supuestos!$F$13*Supuestos!$F$18*12+AB24*Supuestos!$F$25+AB24*Supuestos!$F$58*$J24*(Supuestos!$F$26*(Supuestos!$F$7/Supuestos!$F$6)+Supuestos!$F$27)+AB24*Supuestos!$F$28*Supuestos!$F$29+(Supuestos!$F$61+Supuestos!$F$64)*$K24</f>
        <v>2735827.928</v>
      </c>
      <c r="AE24" s="22" t="n">
        <f aca="false">(Supuestos!$F$37-Supuestos!$F$36)*Supuestos!$F$13*Supuestos!$F$14*$I24*(1+Supuestos!$F$15)+MIN(Supuestos!$F$37-Supuestos!$F$36,Supuestos!$F$40)*Supuestos!$F$17+((Supuestos!$F$37-Supuestos!$F$36)-MIN(Supuestos!$F$37-Supuestos!$F$36,Supuestos!$F$40))*Supuestos!$F$16</f>
        <v>1223000</v>
      </c>
      <c r="AF24" s="22" t="n">
        <f aca="false">AC24-AD24-AE24</f>
        <v>-264518.200937501</v>
      </c>
      <c r="AG24" s="22" t="n">
        <f aca="false">((Supuestos!$F$37)+(Supuestos!$F$37))/2*Supuestos!$F$10*Supuestos!$F$11*Supuestos!$F$12*$E24</f>
        <v>40241250</v>
      </c>
      <c r="AH24" s="22" t="n">
        <f aca="false">AG24*MIN(1,Supuestos!$F$43*$G24)*MIN(1,Supuestos!$F$46*$H24)</f>
        <v>12877200</v>
      </c>
      <c r="AI24" s="22" t="n">
        <f aca="false">AG24*Supuestos!$F$49*$F24*(Supuestos!$F$7/Supuestos!$F$8*Supuestos!$F$9*$M24)+AH24*(Supuestos!$F$7/Supuestos!$F$6)*(((1-Supuestos!$F$22)*Supuestos!$F$19+Supuestos!$F$22*Supuestos!$F$21)-((1-MIN(1,Supuestos!$F$52*$N24))*Supuestos!$F$19+MIN(1,Supuestos!$F$52*$N24)*Supuestos!$F$20))+AH24*Supuestos!$F$23/60*Supuestos!$F$24*MIN(1,Supuestos!$F$55*$L24)</f>
        <v>4104788.585625</v>
      </c>
      <c r="AJ24" s="22" t="n">
        <f aca="false">((Supuestos!$F$37)+(Supuestos!$F$37))/2*Supuestos!$F$13*Supuestos!$F$18*12+AH24*Supuestos!$F$25+AH24*Supuestos!$F$58*$J24*(Supuestos!$F$26*(Supuestos!$F$7/Supuestos!$F$6)+Supuestos!$F$27)+AH24*Supuestos!$F$28*Supuestos!$F$29+(Supuestos!$F$61+Supuestos!$F$64)*$K24</f>
        <v>2900919.92</v>
      </c>
      <c r="AK24" s="22" t="n">
        <f aca="false">0</f>
        <v>0</v>
      </c>
      <c r="AL24" s="22" t="n">
        <f aca="false">AI24-AJ24-AK24</f>
        <v>1203868.665625</v>
      </c>
      <c r="AM24" s="22" t="n">
        <f aca="false">((Supuestos!$F$37)+(Supuestos!$F$37))/2*Supuestos!$F$10*Supuestos!$F$11*Supuestos!$F$12*$E24</f>
        <v>40241250</v>
      </c>
      <c r="AN24" s="22" t="n">
        <f aca="false">AM24*MIN(1,Supuestos!$F$43*$G24)*MIN(1,Supuestos!$F$46*$H24)</f>
        <v>12877200</v>
      </c>
      <c r="AO24" s="22" t="n">
        <f aca="false">AM24*Supuestos!$F$49*$F24*(Supuestos!$F$7/Supuestos!$F$8*Supuestos!$F$9*$M24)+AN24*(Supuestos!$F$7/Supuestos!$F$6)*(((1-Supuestos!$F$22)*Supuestos!$F$19+Supuestos!$F$22*Supuestos!$F$21)-((1-MIN(1,Supuestos!$F$52*$N24))*Supuestos!$F$19+MIN(1,Supuestos!$F$52*$N24)*Supuestos!$F$20))+AN24*Supuestos!$F$23/60*Supuestos!$F$24*MIN(1,Supuestos!$F$55*$L24)</f>
        <v>4104788.585625</v>
      </c>
      <c r="AP24" s="22" t="n">
        <f aca="false">((Supuestos!$F$37)+(Supuestos!$F$37))/2*Supuestos!$F$13*Supuestos!$F$18*12+AN24*Supuestos!$F$25+AN24*Supuestos!$F$58*$J24*(Supuestos!$F$26*(Supuestos!$F$7/Supuestos!$F$6)+Supuestos!$F$27)+AN24*Supuestos!$F$28*Supuestos!$F$29+(Supuestos!$F$61+Supuestos!$F$64)*$K24</f>
        <v>2900919.92</v>
      </c>
      <c r="AQ24" s="22" t="n">
        <f aca="false">0</f>
        <v>0</v>
      </c>
      <c r="AR24" s="22" t="n">
        <f aca="false">AO24-AP24-AQ24</f>
        <v>1203868.665625</v>
      </c>
    </row>
    <row r="25" customFormat="false" ht="15" hidden="false" customHeight="false" outlineLevel="0" collapsed="false">
      <c r="A25" s="7" t="s">
        <v>258</v>
      </c>
      <c r="B25" s="31" t="n">
        <f aca="false">NPV(Supuestos!$F$30,T25,Z25,AF25,AL25,AR25)</f>
        <v>-2753781.83925077</v>
      </c>
      <c r="C25" s="29" t="n">
        <f aca="false">B25-$B$5</f>
        <v>920680.626316078</v>
      </c>
      <c r="D25" s="4"/>
      <c r="E25" s="44" t="n">
        <v>1</v>
      </c>
      <c r="F25" s="44" t="n">
        <v>1</v>
      </c>
      <c r="G25" s="44" t="n">
        <v>1</v>
      </c>
      <c r="H25" s="44" t="n">
        <v>1</v>
      </c>
      <c r="I25" s="44" t="n">
        <v>1</v>
      </c>
      <c r="J25" s="44" t="n">
        <v>1</v>
      </c>
      <c r="K25" s="44" t="n">
        <v>1</v>
      </c>
      <c r="L25" s="44" t="n">
        <v>1</v>
      </c>
      <c r="M25" s="44" t="n">
        <v>1</v>
      </c>
      <c r="N25" s="44" t="n">
        <v>1.25</v>
      </c>
      <c r="O25" s="22" t="n">
        <f aca="false">((Supuestos!$F$31)+(Supuestos!$F$35))/2*Supuestos!$F$10*Supuestos!$F$11*Supuestos!$F$12*$E25</f>
        <v>9899347.5</v>
      </c>
      <c r="P25" s="22" t="n">
        <f aca="false">O25*MIN(1,Supuestos!$F$41*$G25)*MIN(1,Supuestos!$F$44*$H25)</f>
        <v>1385908.65</v>
      </c>
      <c r="Q25" s="22" t="n">
        <f aca="false">O25*Supuestos!$F$47*$F25*(Supuestos!$F$7/Supuestos!$F$8*Supuestos!$F$9*$M25)+P25*(Supuestos!$F$7/Supuestos!$F$6)*(((1-Supuestos!$F$22)*Supuestos!$F$19+Supuestos!$F$22*Supuestos!$F$21)-((1-MIN(1,Supuestos!$F$50*$N25))*Supuestos!$F$19+MIN(1,Supuestos!$F$50*$N25)*Supuestos!$F$20))+P25*Supuestos!$F$23/60*Supuestos!$F$24*MIN(1,Supuestos!$F$53*$L25)</f>
        <v>146161.391000625</v>
      </c>
      <c r="R25" s="22" t="n">
        <f aca="false">((Supuestos!$F$31)+(Supuestos!$F$35))/2*Supuestos!$F$13*Supuestos!$F$18*12+P25*Supuestos!$F$25+P25*Supuestos!$F$56*$J25*(Supuestos!$F$26*(Supuestos!$F$7/Supuestos!$F$6)+Supuestos!$F$27)+P25*Supuestos!$F$28*Supuestos!$F$29+(Supuestos!$F$59+Supuestos!$F$62)*$K25</f>
        <v>1672536.21003</v>
      </c>
      <c r="S25" s="22" t="n">
        <f aca="false">(Supuestos!$F$35-Supuestos!$F$31)*Supuestos!$F$13*Supuestos!$F$14*$I25*(1+Supuestos!$F$15)+MIN(Supuestos!$F$35-Supuestos!$F$31,Supuestos!$F$38)*Supuestos!$F$17+((Supuestos!$F$35-Supuestos!$F$31)-MIN(Supuestos!$F$35-Supuestos!$F$31,Supuestos!$F$38))*Supuestos!$F$16</f>
        <v>2411820</v>
      </c>
      <c r="T25" s="22" t="n">
        <f aca="false">Q25-R25-S25</f>
        <v>-3938194.81902938</v>
      </c>
      <c r="U25" s="22" t="n">
        <f aca="false">((Supuestos!$F$35)+(Supuestos!$F$36))/2*Supuestos!$F$10*Supuestos!$F$11*Supuestos!$F$12*$E25</f>
        <v>25754400</v>
      </c>
      <c r="V25" s="22" t="n">
        <f aca="false">U25*MIN(1,Supuestos!$F$42*$G25)*MIN(1,Supuestos!$F$45*$H25)</f>
        <v>5872003.2</v>
      </c>
      <c r="W25" s="22" t="n">
        <f aca="false">U25*Supuestos!$F$48*$F25*(Supuestos!$F$7/Supuestos!$F$8*Supuestos!$F$9*$M25)+V25*(Supuestos!$F$7/Supuestos!$F$6)*(((1-Supuestos!$F$22)*Supuestos!$F$19+Supuestos!$F$22*Supuestos!$F$21)-((1-MIN(1,Supuestos!$F$51*$N25))*Supuestos!$F$19+MIN(1,Supuestos!$F$51*$N25)*Supuestos!$F$20))+V25*Supuestos!$F$23/60*Supuestos!$F$24*MIN(1,Supuestos!$F$54*$L25)</f>
        <v>1559598.25518</v>
      </c>
      <c r="X25" s="22" t="n">
        <f aca="false">((Supuestos!$F$35)+(Supuestos!$F$36))/2*Supuestos!$F$13*Supuestos!$F$18*12+V25*Supuestos!$F$25+V25*Supuestos!$F$57*$J25*(Supuestos!$F$26*(Supuestos!$F$7/Supuestos!$F$6)+Supuestos!$F$27)+V25*Supuestos!$F$28*Supuestos!$F$29+(Supuestos!$F$60+Supuestos!$F$63)*$K25</f>
        <v>2225344.3264</v>
      </c>
      <c r="Y25" s="22" t="n">
        <f aca="false">(Supuestos!$F$36-Supuestos!$F$35)*Supuestos!$F$13*Supuestos!$F$14*$I25*(1+Supuestos!$F$15)+MIN(Supuestos!$F$36-Supuestos!$F$35,Supuestos!$F$39)*Supuestos!$F$17+((Supuestos!$F$36-Supuestos!$F$35)-MIN(Supuestos!$F$36-Supuestos!$F$35,Supuestos!$F$39))*Supuestos!$F$16</f>
        <v>1956800</v>
      </c>
      <c r="Z25" s="22" t="n">
        <f aca="false">W25-X25-Y25</f>
        <v>-2622546.07122</v>
      </c>
      <c r="AA25" s="22" t="n">
        <f aca="false">((Supuestos!$F$36)+(Supuestos!$F$37))/2*Supuestos!$F$10*Supuestos!$F$11*Supuestos!$F$12*$E25</f>
        <v>36217125</v>
      </c>
      <c r="AB25" s="22" t="n">
        <f aca="false">AA25*MIN(1,Supuestos!$F$43*$G25)*MIN(1,Supuestos!$F$46*$H25)</f>
        <v>11589480</v>
      </c>
      <c r="AC25" s="22" t="n">
        <f aca="false">AA25*Supuestos!$F$49*$F25*(Supuestos!$F$7/Supuestos!$F$8*Supuestos!$F$9*$M25)+AB25*(Supuestos!$F$7/Supuestos!$F$6)*(((1-Supuestos!$F$22)*Supuestos!$F$19+Supuestos!$F$22*Supuestos!$F$21)-((1-MIN(1,Supuestos!$F$52*$N25))*Supuestos!$F$19+MIN(1,Supuestos!$F$52*$N25)*Supuestos!$F$20))+AB25*Supuestos!$F$23/60*Supuestos!$F$24*MIN(1,Supuestos!$F$55*$L25)</f>
        <v>4472108.7035625</v>
      </c>
      <c r="AD25" s="22" t="n">
        <f aca="false">((Supuestos!$F$36)+(Supuestos!$F$37))/2*Supuestos!$F$13*Supuestos!$F$18*12+AB25*Supuestos!$F$25+AB25*Supuestos!$F$58*$J25*(Supuestos!$F$26*(Supuestos!$F$7/Supuestos!$F$6)+Supuestos!$F$27)+AB25*Supuestos!$F$28*Supuestos!$F$29+(Supuestos!$F$61+Supuestos!$F$64)*$K25</f>
        <v>2735827.928</v>
      </c>
      <c r="AE25" s="22" t="n">
        <f aca="false">(Supuestos!$F$37-Supuestos!$F$36)*Supuestos!$F$13*Supuestos!$F$14*$I25*(1+Supuestos!$F$15)+MIN(Supuestos!$F$37-Supuestos!$F$36,Supuestos!$F$40)*Supuestos!$F$17+((Supuestos!$F$37-Supuestos!$F$36)-MIN(Supuestos!$F$37-Supuestos!$F$36,Supuestos!$F$40))*Supuestos!$F$16</f>
        <v>1223000</v>
      </c>
      <c r="AF25" s="22" t="n">
        <f aca="false">AC25-AD25-AE25</f>
        <v>513280.7755625</v>
      </c>
      <c r="AG25" s="22" t="n">
        <f aca="false">((Supuestos!$F$37)+(Supuestos!$F$37))/2*Supuestos!$F$10*Supuestos!$F$11*Supuestos!$F$12*$E25</f>
        <v>40241250</v>
      </c>
      <c r="AH25" s="22" t="n">
        <f aca="false">AG25*MIN(1,Supuestos!$F$43*$G25)*MIN(1,Supuestos!$F$46*$H25)</f>
        <v>12877200</v>
      </c>
      <c r="AI25" s="22" t="n">
        <f aca="false">AG25*Supuestos!$F$49*$F25*(Supuestos!$F$7/Supuestos!$F$8*Supuestos!$F$9*$M25)+AH25*(Supuestos!$F$7/Supuestos!$F$6)*(((1-Supuestos!$F$22)*Supuestos!$F$19+Supuestos!$F$22*Supuestos!$F$21)-((1-MIN(1,Supuestos!$F$52*$N25))*Supuestos!$F$19+MIN(1,Supuestos!$F$52*$N25)*Supuestos!$F$20))+AH25*Supuestos!$F$23/60*Supuestos!$F$24*MIN(1,Supuestos!$F$55*$L25)</f>
        <v>4969009.670625</v>
      </c>
      <c r="AJ25" s="22" t="n">
        <f aca="false">((Supuestos!$F$37)+(Supuestos!$F$37))/2*Supuestos!$F$13*Supuestos!$F$18*12+AH25*Supuestos!$F$25+AH25*Supuestos!$F$58*$J25*(Supuestos!$F$26*(Supuestos!$F$7/Supuestos!$F$6)+Supuestos!$F$27)+AH25*Supuestos!$F$28*Supuestos!$F$29+(Supuestos!$F$61+Supuestos!$F$64)*$K25</f>
        <v>2900919.92</v>
      </c>
      <c r="AK25" s="22" t="n">
        <f aca="false">0</f>
        <v>0</v>
      </c>
      <c r="AL25" s="22" t="n">
        <f aca="false">AI25-AJ25-AK25</f>
        <v>2068089.750625</v>
      </c>
      <c r="AM25" s="22" t="n">
        <f aca="false">((Supuestos!$F$37)+(Supuestos!$F$37))/2*Supuestos!$F$10*Supuestos!$F$11*Supuestos!$F$12*$E25</f>
        <v>40241250</v>
      </c>
      <c r="AN25" s="22" t="n">
        <f aca="false">AM25*MIN(1,Supuestos!$F$43*$G25)*MIN(1,Supuestos!$F$46*$H25)</f>
        <v>12877200</v>
      </c>
      <c r="AO25" s="22" t="n">
        <f aca="false">AM25*Supuestos!$F$49*$F25*(Supuestos!$F$7/Supuestos!$F$8*Supuestos!$F$9*$M25)+AN25*(Supuestos!$F$7/Supuestos!$F$6)*(((1-Supuestos!$F$22)*Supuestos!$F$19+Supuestos!$F$22*Supuestos!$F$21)-((1-MIN(1,Supuestos!$F$52*$N25))*Supuestos!$F$19+MIN(1,Supuestos!$F$52*$N25)*Supuestos!$F$20))+AN25*Supuestos!$F$23/60*Supuestos!$F$24*MIN(1,Supuestos!$F$55*$L25)</f>
        <v>4969009.670625</v>
      </c>
      <c r="AP25" s="22" t="n">
        <f aca="false">((Supuestos!$F$37)+(Supuestos!$F$37))/2*Supuestos!$F$13*Supuestos!$F$18*12+AN25*Supuestos!$F$25+AN25*Supuestos!$F$58*$J25*(Supuestos!$F$26*(Supuestos!$F$7/Supuestos!$F$6)+Supuestos!$F$27)+AN25*Supuestos!$F$28*Supuestos!$F$29+(Supuestos!$F$61+Supuestos!$F$64)*$K25</f>
        <v>2900919.92</v>
      </c>
      <c r="AQ25" s="22" t="n">
        <f aca="false">0</f>
        <v>0</v>
      </c>
      <c r="AR25" s="22" t="n">
        <f aca="false">AO25-AP25-AQ25</f>
        <v>2068089.750625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8"/>
  </cols>
  <sheetData>
    <row r="1" customFormat="false" ht="17.35" hidden="false" customHeight="false" outlineLevel="0" collapsed="false">
      <c r="A1" s="1" t="s">
        <v>259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26.85" hidden="false" customHeight="false" outlineLevel="0" collapsed="false">
      <c r="A3" s="8" t="s">
        <v>260</v>
      </c>
      <c r="B3" s="8" t="s">
        <v>261</v>
      </c>
      <c r="C3" s="8" t="s">
        <v>262</v>
      </c>
      <c r="D3" s="8" t="s">
        <v>263</v>
      </c>
      <c r="E3" s="8" t="s">
        <v>264</v>
      </c>
      <c r="F3" s="8" t="s">
        <v>265</v>
      </c>
      <c r="G3" s="8" t="s">
        <v>266</v>
      </c>
    </row>
    <row r="4" customFormat="false" ht="15" hidden="false" customHeight="false" outlineLevel="0" collapsed="false">
      <c r="A4" s="4" t="s">
        <v>267</v>
      </c>
      <c r="B4" s="9" t="n">
        <v>41200</v>
      </c>
      <c r="C4" s="4"/>
      <c r="D4" s="45" t="n">
        <f aca="false">B4/$B$4</f>
        <v>1</v>
      </c>
      <c r="E4" s="4"/>
      <c r="F4" s="4"/>
      <c r="G4" s="4"/>
    </row>
    <row r="5" customFormat="false" ht="15" hidden="false" customHeight="false" outlineLevel="0" collapsed="false">
      <c r="A5" s="4" t="s">
        <v>268</v>
      </c>
      <c r="B5" s="9" t="n">
        <v>37080</v>
      </c>
      <c r="C5" s="45" t="n">
        <f aca="false">B5/B4</f>
        <v>0.9</v>
      </c>
      <c r="D5" s="45" t="n">
        <f aca="false">B5/$B$4</f>
        <v>0.9</v>
      </c>
      <c r="E5" s="45" t="n">
        <f aca="false">MIN(1,C5+0.1)</f>
        <v>1</v>
      </c>
      <c r="F5" s="25" t="n">
        <f aca="false">$B$9/$B$4*E5/C5</f>
        <v>0.118932038834951</v>
      </c>
      <c r="G5" s="46" t="n">
        <f aca="false">(F5-$B$9/$B$4)*100</f>
        <v>1.18932038834951</v>
      </c>
    </row>
    <row r="6" customFormat="false" ht="15" hidden="false" customHeight="false" outlineLevel="0" collapsed="false">
      <c r="A6" s="4" t="s">
        <v>269</v>
      </c>
      <c r="B6" s="9" t="n">
        <v>6180</v>
      </c>
      <c r="C6" s="45" t="n">
        <f aca="false">B6/B5</f>
        <v>0.166666666666667</v>
      </c>
      <c r="D6" s="45" t="n">
        <f aca="false">B6/$B$4</f>
        <v>0.15</v>
      </c>
      <c r="E6" s="45" t="n">
        <f aca="false">MIN(1,C6+0.1)</f>
        <v>0.266666666666667</v>
      </c>
      <c r="F6" s="25" t="n">
        <f aca="false">$B$9/$B$4*E6/C6</f>
        <v>0.17126213592233</v>
      </c>
      <c r="G6" s="46" t="n">
        <f aca="false">(F6-$B$9/$B$4)*100</f>
        <v>6.42233009708738</v>
      </c>
    </row>
    <row r="7" customFormat="false" ht="15" hidden="false" customHeight="false" outlineLevel="0" collapsed="false">
      <c r="A7" s="4" t="s">
        <v>270</v>
      </c>
      <c r="B7" s="9" t="n">
        <v>5130</v>
      </c>
      <c r="C7" s="45" t="n">
        <f aca="false">B7/B6</f>
        <v>0.830097087378641</v>
      </c>
      <c r="D7" s="45" t="n">
        <f aca="false">B7/$B$4</f>
        <v>0.124514563106796</v>
      </c>
      <c r="E7" s="45" t="n">
        <f aca="false">MIN(1,C7+0.1)</f>
        <v>0.930097087378641</v>
      </c>
      <c r="F7" s="25" t="n">
        <f aca="false">$B$9/$B$4*E7/C7</f>
        <v>0.119933571793562</v>
      </c>
      <c r="G7" s="46" t="n">
        <f aca="false">(F7-$B$9/$B$4)*100</f>
        <v>1.28947368421053</v>
      </c>
    </row>
    <row r="8" customFormat="false" ht="15" hidden="false" customHeight="false" outlineLevel="0" collapsed="false">
      <c r="A8" s="4" t="s">
        <v>271</v>
      </c>
      <c r="B8" s="9" t="n">
        <v>4870</v>
      </c>
      <c r="C8" s="45" t="n">
        <f aca="false">B8/B7</f>
        <v>0.949317738791423</v>
      </c>
      <c r="D8" s="45" t="n">
        <f aca="false">B8/$B$4</f>
        <v>0.118203883495146</v>
      </c>
      <c r="E8" s="45" t="n">
        <f aca="false">MIN(1,C8+0.1)</f>
        <v>1</v>
      </c>
      <c r="F8" s="25" t="n">
        <f aca="false">$B$9/$B$4*E8/C8</f>
        <v>0.112753433942705</v>
      </c>
      <c r="G8" s="46" t="n">
        <f aca="false">(F8-$B$9/$B$4)*100</f>
        <v>0.571459899124818</v>
      </c>
    </row>
    <row r="9" customFormat="false" ht="15" hidden="false" customHeight="false" outlineLevel="0" collapsed="false">
      <c r="A9" s="4" t="s">
        <v>272</v>
      </c>
      <c r="B9" s="9" t="n">
        <v>4410</v>
      </c>
      <c r="C9" s="45" t="n">
        <f aca="false">B9/B8</f>
        <v>0.905544147843943</v>
      </c>
      <c r="D9" s="45" t="n">
        <f aca="false">B9/$B$4</f>
        <v>0.107038834951456</v>
      </c>
      <c r="E9" s="45" t="n">
        <f aca="false">MIN(1,C9+0.1)</f>
        <v>1</v>
      </c>
      <c r="F9" s="25" t="n">
        <f aca="false">$B$9/$B$4*E9/C9</f>
        <v>0.118203883495146</v>
      </c>
      <c r="G9" s="46" t="n">
        <f aca="false">(F9-$B$9/$B$4)*100</f>
        <v>1.11650485436893</v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 t="s">
        <v>273</v>
      </c>
      <c r="B11" s="22" t="n">
        <f aca="false">B4*B6/B5</f>
        <v>6866.66666666667</v>
      </c>
      <c r="C11" s="4"/>
      <c r="D11" s="4"/>
      <c r="E11" s="4"/>
      <c r="F11" s="4"/>
      <c r="G11" s="4"/>
    </row>
    <row r="12" customFormat="false" ht="15" hidden="false" customHeight="false" outlineLevel="0" collapsed="false">
      <c r="A12" s="4" t="s">
        <v>274</v>
      </c>
      <c r="B12" s="45" t="n">
        <f aca="false">B9/B11</f>
        <v>0.642233009708738</v>
      </c>
      <c r="C12" s="4"/>
      <c r="D12" s="4"/>
      <c r="E12" s="4"/>
      <c r="F12" s="4"/>
      <c r="G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</row>
    <row r="14" customFormat="false" ht="26.85" hidden="false" customHeight="false" outlineLevel="0" collapsed="false">
      <c r="A14" s="8" t="s">
        <v>275</v>
      </c>
      <c r="B14" s="8" t="s">
        <v>276</v>
      </c>
      <c r="C14" s="8" t="s">
        <v>277</v>
      </c>
      <c r="D14" s="8" t="s">
        <v>278</v>
      </c>
      <c r="E14" s="8" t="s">
        <v>279</v>
      </c>
      <c r="F14" s="8" t="s">
        <v>280</v>
      </c>
      <c r="G14" s="4"/>
    </row>
    <row r="15" customFormat="false" ht="15" hidden="false" customHeight="false" outlineLevel="0" collapsed="false">
      <c r="A15" s="4" t="s">
        <v>281</v>
      </c>
      <c r="B15" s="18" t="n">
        <v>0.55</v>
      </c>
      <c r="C15" s="18" t="n">
        <v>0.971</v>
      </c>
      <c r="D15" s="18" t="n">
        <v>0.0004</v>
      </c>
      <c r="E15" s="46" t="n">
        <f aca="false">B15*(1-C15)*100</f>
        <v>1.595</v>
      </c>
      <c r="F15" s="47" t="n">
        <f aca="false">B15*D15</f>
        <v>0.00022</v>
      </c>
      <c r="G15" s="4"/>
    </row>
    <row r="16" customFormat="false" ht="15" hidden="false" customHeight="false" outlineLevel="0" collapsed="false">
      <c r="A16" s="4" t="s">
        <v>282</v>
      </c>
      <c r="B16" s="18" t="n">
        <v>0.25</v>
      </c>
      <c r="C16" s="18" t="n">
        <v>0.884</v>
      </c>
      <c r="D16" s="18" t="n">
        <v>0.0011</v>
      </c>
      <c r="E16" s="46" t="n">
        <f aca="false">B16*(1-C16)*100</f>
        <v>2.9</v>
      </c>
      <c r="F16" s="47" t="n">
        <f aca="false">B16*D16</f>
        <v>0.000275</v>
      </c>
      <c r="G16" s="4"/>
    </row>
    <row r="17" customFormat="false" ht="15" hidden="false" customHeight="false" outlineLevel="0" collapsed="false">
      <c r="A17" s="4" t="s">
        <v>283</v>
      </c>
      <c r="B17" s="18" t="n">
        <v>0.12</v>
      </c>
      <c r="C17" s="18" t="n">
        <v>0.812</v>
      </c>
      <c r="D17" s="18" t="n">
        <v>0.0019</v>
      </c>
      <c r="E17" s="46" t="n">
        <f aca="false">B17*(1-C17)*100</f>
        <v>2.256</v>
      </c>
      <c r="F17" s="47" t="n">
        <f aca="false">B17*D17</f>
        <v>0.000228</v>
      </c>
      <c r="G17" s="4"/>
    </row>
    <row r="18" customFormat="false" ht="15" hidden="false" customHeight="false" outlineLevel="0" collapsed="false">
      <c r="A18" s="4" t="s">
        <v>284</v>
      </c>
      <c r="B18" s="18" t="n">
        <v>0.05</v>
      </c>
      <c r="C18" s="18" t="n">
        <v>0.64</v>
      </c>
      <c r="D18" s="18" t="n">
        <v>0.0042</v>
      </c>
      <c r="E18" s="46" t="n">
        <f aca="false">B18*(1-C18)*100</f>
        <v>1.8</v>
      </c>
      <c r="F18" s="47" t="n">
        <f aca="false">B18*D18</f>
        <v>0.00021</v>
      </c>
      <c r="G18" s="4"/>
    </row>
    <row r="19" customFormat="false" ht="15" hidden="false" customHeight="false" outlineLevel="0" collapsed="false">
      <c r="A19" s="4" t="s">
        <v>285</v>
      </c>
      <c r="B19" s="18" t="n">
        <v>0.03</v>
      </c>
      <c r="C19" s="18" t="n">
        <v>0.52</v>
      </c>
      <c r="D19" s="18" t="n">
        <v>0.006</v>
      </c>
      <c r="E19" s="46" t="n">
        <f aca="false">B19*(1-C19)*100</f>
        <v>1.44</v>
      </c>
      <c r="F19" s="47" t="n">
        <f aca="false">B19*D19</f>
        <v>0.00018</v>
      </c>
      <c r="G19" s="4"/>
    </row>
    <row r="20" customFormat="false" ht="15" hidden="false" customHeight="false" outlineLevel="0" collapsed="false">
      <c r="A20" s="5" t="s">
        <v>286</v>
      </c>
      <c r="B20" s="45" t="n">
        <f aca="false">SUM(B15:B19)</f>
        <v>1</v>
      </c>
      <c r="C20" s="25" t="n">
        <f aca="false">SUMPRODUCT(B15:B19,C15:C19)</f>
        <v>0.90009</v>
      </c>
      <c r="D20" s="4"/>
      <c r="E20" s="4"/>
      <c r="F20" s="47" t="n">
        <f aca="false">SUM(F15:F19)</f>
        <v>0.001113</v>
      </c>
      <c r="G20" s="4" t="s">
        <v>287</v>
      </c>
    </row>
    <row r="21" customFormat="false" ht="15" hidden="false" customHeight="false" outlineLevel="0" collapsed="false">
      <c r="A21" s="4" t="s">
        <v>288</v>
      </c>
      <c r="B21" s="4"/>
      <c r="C21" s="25" t="n">
        <f aca="false">SUMPRODUCT(B15:B18,C15:C18)/SUM(B15:B18)</f>
        <v>0.911845360824742</v>
      </c>
      <c r="D21" s="4"/>
      <c r="E21" s="4"/>
      <c r="F21" s="4"/>
      <c r="G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</row>
    <row r="23" customFormat="false" ht="26.85" hidden="false" customHeight="false" outlineLevel="0" collapsed="false">
      <c r="A23" s="8" t="s">
        <v>289</v>
      </c>
      <c r="B23" s="8" t="s">
        <v>290</v>
      </c>
      <c r="C23" s="8" t="s">
        <v>291</v>
      </c>
      <c r="D23" s="8" t="s">
        <v>292</v>
      </c>
      <c r="E23" s="8" t="s">
        <v>293</v>
      </c>
      <c r="F23" s="8" t="s">
        <v>294</v>
      </c>
      <c r="G23" s="8" t="s">
        <v>295</v>
      </c>
    </row>
    <row r="24" customFormat="false" ht="15" hidden="false" customHeight="false" outlineLevel="0" collapsed="false">
      <c r="A24" s="4" t="s">
        <v>296</v>
      </c>
      <c r="B24" s="18" t="n">
        <v>0.021</v>
      </c>
      <c r="C24" s="18" t="n">
        <v>0.008</v>
      </c>
      <c r="D24" s="18" t="n">
        <v>0.04</v>
      </c>
      <c r="E24" s="18" t="n">
        <v>0.015</v>
      </c>
      <c r="F24" s="25" t="n">
        <f aca="false">1-(1-B24)*(1-E24)</f>
        <v>0.0356850000000001</v>
      </c>
      <c r="G24" s="25" t="n">
        <f aca="false">(1-0.098)*(1-F24)</f>
        <v>0.86981213</v>
      </c>
    </row>
    <row r="25" customFormat="false" ht="15" hidden="false" customHeight="false" outlineLevel="0" collapsed="false">
      <c r="A25" s="4" t="s">
        <v>297</v>
      </c>
      <c r="B25" s="18" t="n">
        <v>0.045</v>
      </c>
      <c r="C25" s="18" t="n">
        <v>0.002</v>
      </c>
      <c r="D25" s="18" t="n">
        <v>0.022</v>
      </c>
      <c r="E25" s="18" t="n">
        <v>0.03</v>
      </c>
      <c r="F25" s="25" t="n">
        <f aca="false">1-(1-B25)*(1-E25)</f>
        <v>0.0736500000000001</v>
      </c>
      <c r="G25" s="25" t="n">
        <f aca="false">(1-0.098)*(1-F25)</f>
        <v>0.8355677</v>
      </c>
    </row>
    <row r="26" customFormat="false" ht="15" hidden="false" customHeight="false" outlineLevel="0" collapsed="false">
      <c r="A26" s="4" t="s">
        <v>298</v>
      </c>
      <c r="B26" s="18" t="n">
        <v>0.098</v>
      </c>
      <c r="C26" s="18" t="n">
        <v>0.0003</v>
      </c>
      <c r="D26" s="18" t="n">
        <v>0.009</v>
      </c>
      <c r="E26" s="18" t="n">
        <v>0.061</v>
      </c>
      <c r="F26" s="25" t="n">
        <f aca="false">1-(1-B26)*(1-E26)</f>
        <v>0.153022</v>
      </c>
      <c r="G26" s="25" t="n">
        <f aca="false">(1-0.098)*(1-F26)</f>
        <v>0.763974156</v>
      </c>
    </row>
    <row r="27" customFormat="false" ht="15" hidden="false" customHeight="false" outlineLevel="0" collapsed="false">
      <c r="A27" s="4" t="s">
        <v>299</v>
      </c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8" t="s">
        <v>300</v>
      </c>
      <c r="B29" s="8" t="s">
        <v>128</v>
      </c>
      <c r="C29" s="8" t="s">
        <v>142</v>
      </c>
      <c r="D29" s="4"/>
      <c r="E29" s="4"/>
      <c r="F29" s="4"/>
      <c r="G29" s="4"/>
    </row>
    <row r="30" customFormat="false" ht="15" hidden="false" customHeight="false" outlineLevel="0" collapsed="false">
      <c r="A30" s="4" t="s">
        <v>301</v>
      </c>
      <c r="B30" s="48" t="n">
        <v>27</v>
      </c>
      <c r="C30" s="4"/>
      <c r="D30" s="4"/>
      <c r="E30" s="4"/>
      <c r="F30" s="4"/>
      <c r="G30" s="4"/>
    </row>
    <row r="31" customFormat="false" ht="15" hidden="false" customHeight="false" outlineLevel="0" collapsed="false">
      <c r="A31" s="4" t="s">
        <v>302</v>
      </c>
      <c r="B31" s="48" t="n">
        <v>4410</v>
      </c>
      <c r="C31" s="4"/>
      <c r="D31" s="4"/>
      <c r="E31" s="4"/>
      <c r="F31" s="4"/>
      <c r="G31" s="4"/>
    </row>
    <row r="32" customFormat="false" ht="15" hidden="false" customHeight="false" outlineLevel="0" collapsed="false">
      <c r="A32" s="4" t="s">
        <v>303</v>
      </c>
      <c r="B32" s="25" t="n">
        <f aca="false">B30/B31</f>
        <v>0.00612244897959184</v>
      </c>
      <c r="C32" s="4"/>
      <c r="D32" s="4"/>
      <c r="E32" s="4"/>
      <c r="F32" s="4"/>
      <c r="G32" s="4"/>
    </row>
    <row r="33" customFormat="false" ht="15" hidden="false" customHeight="false" outlineLevel="0" collapsed="false">
      <c r="A33" s="4" t="s">
        <v>304</v>
      </c>
      <c r="B33" s="49" t="n">
        <f aca="false">0.0042*B31</f>
        <v>18.522</v>
      </c>
      <c r="C33" s="4"/>
      <c r="D33" s="4"/>
      <c r="E33" s="4"/>
      <c r="F33" s="4"/>
      <c r="G33" s="4"/>
    </row>
    <row r="34" customFormat="false" ht="15" hidden="false" customHeight="false" outlineLevel="0" collapsed="false">
      <c r="A34" s="4" t="s">
        <v>305</v>
      </c>
      <c r="B34" s="47" t="n">
        <f aca="false">(0.0061-0.0015)/7</f>
        <v>0.000657142857142857</v>
      </c>
      <c r="C34" s="4"/>
      <c r="D34" s="4"/>
      <c r="E34" s="4"/>
      <c r="F34" s="4"/>
      <c r="G34" s="4"/>
    </row>
    <row r="35" customFormat="false" ht="15" hidden="false" customHeight="false" outlineLevel="0" collapsed="false">
      <c r="A35" s="4" t="s">
        <v>306</v>
      </c>
      <c r="B35" s="25" t="n">
        <f aca="false">0.0061+B34</f>
        <v>0.00675714285714286</v>
      </c>
      <c r="C35" s="4" t="s">
        <v>307</v>
      </c>
      <c r="D35" s="4"/>
      <c r="E35" s="4"/>
      <c r="F35" s="4"/>
      <c r="G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</row>
    <row r="37" customFormat="false" ht="15" hidden="false" customHeight="false" outlineLevel="0" collapsed="false">
      <c r="A37" s="8" t="s">
        <v>308</v>
      </c>
      <c r="B37" s="8" t="s">
        <v>128</v>
      </c>
      <c r="C37" s="4"/>
      <c r="D37" s="4"/>
      <c r="E37" s="4"/>
      <c r="F37" s="4"/>
      <c r="G37" s="4"/>
    </row>
    <row r="38" customFormat="false" ht="15" hidden="false" customHeight="false" outlineLevel="0" collapsed="false">
      <c r="A38" s="4" t="s">
        <v>309</v>
      </c>
      <c r="B38" s="29" t="n">
        <f aca="false">420*6*6800+360*9500+60*2000</f>
        <v>20676000</v>
      </c>
      <c r="C38" s="4" t="s">
        <v>310</v>
      </c>
      <c r="D38" s="4"/>
      <c r="E38" s="4"/>
      <c r="F38" s="4"/>
      <c r="G38" s="4"/>
    </row>
    <row r="39" customFormat="false" ht="15" hidden="false" customHeight="false" outlineLevel="0" collapsed="false">
      <c r="A39" s="4" t="s">
        <v>311</v>
      </c>
      <c r="B39" s="29" t="n">
        <f aca="false">420*6*85*12</f>
        <v>2570400</v>
      </c>
      <c r="C39" s="4"/>
      <c r="D39" s="4"/>
      <c r="E39" s="4"/>
      <c r="F39" s="4"/>
      <c r="G39" s="4"/>
    </row>
    <row r="40" customFormat="false" ht="15" hidden="false" customHeight="false" outlineLevel="0" collapsed="false">
      <c r="A40" s="4" t="s">
        <v>312</v>
      </c>
      <c r="B40" s="45" t="n">
        <f aca="false">245*(400/60)/(6*18*60)</f>
        <v>0.252057613168724</v>
      </c>
      <c r="C40" s="4"/>
      <c r="D40" s="4"/>
      <c r="E40" s="4"/>
      <c r="F40" s="4"/>
      <c r="G4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8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313</v>
      </c>
      <c r="B1" s="4"/>
      <c r="C1" s="4"/>
      <c r="D1" s="4"/>
    </row>
    <row r="2" customFormat="false" ht="15" hidden="false" customHeight="false" outlineLevel="0" collapsed="false">
      <c r="A2" s="4" t="s">
        <v>314</v>
      </c>
      <c r="B2" s="4"/>
      <c r="C2" s="4"/>
      <c r="D2" s="4"/>
    </row>
    <row r="3" customFormat="false" ht="15" hidden="false" customHeight="false" outlineLevel="0" collapsed="false">
      <c r="A3" s="4"/>
      <c r="B3" s="4"/>
      <c r="C3" s="4"/>
      <c r="D3" s="4"/>
    </row>
    <row r="4" customFormat="false" ht="15" hidden="false" customHeight="false" outlineLevel="0" collapsed="false">
      <c r="A4" s="8" t="s">
        <v>315</v>
      </c>
      <c r="B4" s="8" t="s">
        <v>316</v>
      </c>
      <c r="C4" s="8" t="s">
        <v>317</v>
      </c>
      <c r="D4" s="8" t="s">
        <v>318</v>
      </c>
    </row>
    <row r="5" customFormat="false" ht="26.85" hidden="false" customHeight="false" outlineLevel="0" collapsed="false">
      <c r="A5" s="50" t="s">
        <v>319</v>
      </c>
      <c r="B5" s="51" t="s">
        <v>320</v>
      </c>
      <c r="C5" s="51" t="s">
        <v>321</v>
      </c>
      <c r="D5" s="51" t="s">
        <v>322</v>
      </c>
    </row>
    <row r="6" customFormat="false" ht="39.55" hidden="false" customHeight="false" outlineLevel="0" collapsed="false">
      <c r="A6" s="50" t="s">
        <v>323</v>
      </c>
      <c r="B6" s="51" t="s">
        <v>324</v>
      </c>
      <c r="C6" s="51" t="s">
        <v>325</v>
      </c>
      <c r="D6" s="51" t="s">
        <v>326</v>
      </c>
    </row>
    <row r="7" customFormat="false" ht="26.85" hidden="false" customHeight="false" outlineLevel="0" collapsed="false">
      <c r="A7" s="50" t="s">
        <v>327</v>
      </c>
      <c r="B7" s="51" t="s">
        <v>328</v>
      </c>
      <c r="C7" s="51" t="s">
        <v>329</v>
      </c>
      <c r="D7" s="51" t="s">
        <v>330</v>
      </c>
    </row>
    <row r="8" customFormat="false" ht="26.85" hidden="false" customHeight="false" outlineLevel="0" collapsed="false">
      <c r="A8" s="50" t="s">
        <v>331</v>
      </c>
      <c r="B8" s="51" t="s">
        <v>332</v>
      </c>
      <c r="C8" s="51" t="s">
        <v>333</v>
      </c>
      <c r="D8" s="51" t="s">
        <v>334</v>
      </c>
    </row>
    <row r="9" customFormat="false" ht="39.55" hidden="false" customHeight="false" outlineLevel="0" collapsed="false">
      <c r="A9" s="50" t="s">
        <v>335</v>
      </c>
      <c r="B9" s="51" t="s">
        <v>336</v>
      </c>
      <c r="C9" s="51" t="s">
        <v>337</v>
      </c>
      <c r="D9" s="51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" t="s">
        <v>339</v>
      </c>
      <c r="B1" s="4"/>
      <c r="C1" s="4"/>
    </row>
    <row r="2" customFormat="false" ht="15" hidden="false" customHeight="false" outlineLevel="0" collapsed="false">
      <c r="A2" s="4"/>
      <c r="B2" s="4"/>
      <c r="C2" s="4"/>
    </row>
    <row r="3" customFormat="false" ht="26.85" hidden="false" customHeight="false" outlineLevel="0" collapsed="false">
      <c r="A3" s="8" t="s">
        <v>340</v>
      </c>
      <c r="B3" s="8" t="s">
        <v>50</v>
      </c>
      <c r="C3" s="8" t="s">
        <v>341</v>
      </c>
    </row>
    <row r="4" customFormat="false" ht="15" hidden="false" customHeight="false" outlineLevel="0" collapsed="false">
      <c r="A4" s="4" t="s">
        <v>342</v>
      </c>
      <c r="B4" s="33" t="n">
        <f aca="false">Modelo!C31</f>
        <v>2411820</v>
      </c>
      <c r="C4" s="45" t="n">
        <f aca="false">B4/$B$11</f>
        <v>0.574242857142857</v>
      </c>
    </row>
    <row r="5" customFormat="false" ht="15" hidden="false" customHeight="false" outlineLevel="0" collapsed="false">
      <c r="A5" s="4" t="s">
        <v>343</v>
      </c>
      <c r="B5" s="33" t="n">
        <f aca="false">Modelo!C20+Modelo!C21+Modelo!C22+Modelo!C23</f>
        <v>322536.21003</v>
      </c>
      <c r="C5" s="45" t="n">
        <f aca="false">B5/$B$11</f>
        <v>0.0767943357214286</v>
      </c>
    </row>
    <row r="6" customFormat="false" ht="15" hidden="false" customHeight="false" outlineLevel="0" collapsed="false">
      <c r="A6" s="4" t="s">
        <v>169</v>
      </c>
      <c r="B6" s="33" t="n">
        <f aca="false">Modelo!C24</f>
        <v>1100000</v>
      </c>
      <c r="C6" s="45" t="n">
        <f aca="false">B6/$B$11</f>
        <v>0.261904761904762</v>
      </c>
    </row>
    <row r="7" customFormat="false" ht="15" hidden="false" customHeight="false" outlineLevel="0" collapsed="false">
      <c r="A7" s="4" t="s">
        <v>170</v>
      </c>
      <c r="B7" s="33" t="n">
        <f aca="false">Modelo!C25</f>
        <v>250000</v>
      </c>
      <c r="C7" s="45" t="n">
        <f aca="false">B7/$B$11</f>
        <v>0.0595238095238095</v>
      </c>
    </row>
    <row r="8" customFormat="false" ht="15" hidden="false" customHeight="false" outlineLevel="0" collapsed="false">
      <c r="A8" s="4" t="s">
        <v>344</v>
      </c>
      <c r="B8" s="33" t="n">
        <f aca="false">-Modelo!C18</f>
        <v>-132873.99181875</v>
      </c>
      <c r="C8" s="45" t="n">
        <f aca="false">B8/$B$11</f>
        <v>-0.03163666471875</v>
      </c>
    </row>
    <row r="9" customFormat="false" ht="15" hidden="false" customHeight="false" outlineLevel="0" collapsed="false">
      <c r="A9" s="5" t="s">
        <v>345</v>
      </c>
      <c r="B9" s="29" t="n">
        <f aca="false">SUM(B4:B8)</f>
        <v>3951482.21821125</v>
      </c>
      <c r="C9" s="45" t="n">
        <f aca="false">B9/$B$11</f>
        <v>0.940829099574107</v>
      </c>
    </row>
    <row r="10" customFormat="false" ht="15" hidden="false" customHeight="false" outlineLevel="0" collapsed="false">
      <c r="A10" s="4" t="s">
        <v>346</v>
      </c>
      <c r="B10" s="29" t="n">
        <f aca="false">B11-B9</f>
        <v>248517.78178875</v>
      </c>
      <c r="C10" s="45" t="n">
        <f aca="false">B10/$B$11</f>
        <v>0.0591709004258929</v>
      </c>
    </row>
    <row r="11" customFormat="false" ht="15" hidden="false" customHeight="false" outlineLevel="0" collapsed="false">
      <c r="A11" s="4" t="s">
        <v>121</v>
      </c>
      <c r="B11" s="28" t="n">
        <v>4200000</v>
      </c>
      <c r="C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2026-10-09T22:52:16Z</dcterms:created>
  <dc:creator>openpyxl</dc:creator>
  <dc:description/>
  <dc:language>en-US</dc:language>
  <cp:lastModifiedBy/>
  <dcterms:modified xsi:type="dcterms:W3CDTF">2026-10-09T22:52:17Z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